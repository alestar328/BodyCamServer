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Sesiones" sheetId="2" state="visible" r:id="rId2"/>
    <sheet xmlns:r="http://schemas.openxmlformats.org/officeDocument/2006/relationships" name="Bloques" sheetId="3" state="visible" r:id="rId3"/>
    <sheet xmlns:r="http://schemas.openxmlformats.org/officeDocument/2006/relationships" name="Entregas" sheetId="4" state="visible" r:id="rId4"/>
    <sheet xmlns:r="http://schemas.openxmlformats.org/officeDocument/2006/relationships" name="Historial git" sheetId="5" state="visible" r:id="rId5"/>
    <sheet xmlns:r="http://schemas.openxmlformats.org/officeDocument/2006/relationships" name="Detalle archivos" sheetId="6" state="visible" r:id="rId6"/>
  </sheets>
  <definedNames/>
  <calcPr calcId="124519" fullCalcOnLoad="1"/>
</workbook>
</file>

<file path=xl/styles.xml><?xml version="1.0" encoding="utf-8"?>
<styleSheet xmlns="http://schemas.openxmlformats.org/spreadsheetml/2006/main">
  <numFmts count="4">
    <numFmt numFmtId="164" formatCode="yyyy-mm-dd"/>
    <numFmt numFmtId="165" formatCode="#,##0.00\ &quot;€&quot;"/>
    <numFmt numFmtId="166" formatCode="0.0"/>
    <numFmt numFmtId="167" formatCode="yyyy-mm-dd h:mm:ss"/>
  </numFmts>
  <fonts count="19">
    <font>
      <name val="Calibri"/>
      <color theme="1"/>
      <sz val="11"/>
      <scheme val="minor"/>
    </font>
    <font>
      <name val="Calibri"/>
      <b val="1"/>
      <color rgb="FFFFFFFF"/>
      <sz val="16"/>
      <scheme val="minor"/>
    </font>
    <font/>
    <font>
      <name val="Calibri"/>
      <b val="1"/>
      <color rgb="FFFFFFFF"/>
      <sz val="10"/>
      <scheme val="minor"/>
    </font>
    <font>
      <name val="Calibri"/>
      <b val="1"/>
      <color rgb="FF1F3864"/>
      <sz val="12"/>
      <scheme val="minor"/>
    </font>
    <font>
      <name val="Calibri"/>
      <i val="1"/>
      <color rgb="FF606060"/>
      <sz val="9"/>
      <scheme val="minor"/>
    </font>
    <font>
      <name val="Calibri"/>
      <b val="1"/>
      <color theme="1"/>
      <sz val="10"/>
      <scheme val="minor"/>
    </font>
    <font>
      <name val="Calibri"/>
      <color theme="1"/>
      <sz val="11"/>
    </font>
    <font>
      <name val="Consolas"/>
      <b val="1"/>
      <color theme="1"/>
      <sz val="10"/>
    </font>
    <font>
      <name val="Calibri"/>
      <b val="1"/>
      <color rgb="FF375623"/>
      <sz val="9"/>
      <scheme val="minor"/>
    </font>
    <font>
      <name val="Calibri"/>
      <b val="1"/>
      <color rgb="FF7F6000"/>
      <sz val="10"/>
      <scheme val="minor"/>
    </font>
    <font>
      <name val="Consolas"/>
      <color theme="1"/>
      <sz val="10"/>
    </font>
    <font>
      <name val="Calibri"/>
      <b val="1"/>
      <color rgb="FF7F6000"/>
      <sz val="9"/>
      <scheme val="minor"/>
    </font>
    <font>
      <name val="Calibri"/>
      <b val="1"/>
      <color theme="1"/>
      <sz val="11"/>
      <scheme val="minor"/>
    </font>
    <font>
      <name val="Calibri"/>
      <i val="1"/>
      <color rgb="FF7F6000"/>
      <sz val="9"/>
      <scheme val="minor"/>
    </font>
    <font>
      <name val="Calibri"/>
      <b val="1"/>
      <color rgb="FF9C0006"/>
      <sz val="9"/>
      <scheme val="minor"/>
    </font>
    <font>
      <name val="Calibri"/>
      <color theme="1"/>
      <sz val="9"/>
      <scheme val="minor"/>
    </font>
    <font>
      <name val="Calibri"/>
      <color theme="1"/>
      <scheme val="minor"/>
    </font>
    <font>
      <name val="Consolas"/>
      <b val="1"/>
      <color theme="1"/>
      <sz val="9"/>
    </font>
  </fonts>
  <fills count="9">
    <fill>
      <patternFill/>
    </fill>
    <fill>
      <patternFill patternType="lightGray"/>
    </fill>
    <fill>
      <patternFill patternType="solid">
        <fgColor rgb="FF1F3864"/>
        <bgColor rgb="FF1F3864"/>
      </patternFill>
    </fill>
    <fill>
      <patternFill patternType="solid">
        <fgColor rgb="FF2E5C9A"/>
        <bgColor rgb="FF2E5C9A"/>
      </patternFill>
    </fill>
    <fill>
      <patternFill patternType="solid">
        <fgColor rgb="FFE2EFDA"/>
        <bgColor rgb="FFE2EFDA"/>
      </patternFill>
    </fill>
    <fill>
      <patternFill patternType="solid">
        <fgColor rgb="FFFFF9E6"/>
        <bgColor rgb="FFFFF9E6"/>
      </patternFill>
    </fill>
    <fill>
      <patternFill patternType="solid">
        <fgColor rgb="FFFFF2CC"/>
        <bgColor rgb="FFFFF2CC"/>
      </patternFill>
    </fill>
    <fill>
      <patternFill patternType="solid">
        <fgColor rgb="FFEDF1F7"/>
        <bgColor rgb="FFEDF1F7"/>
      </patternFill>
    </fill>
    <fill>
      <patternFill patternType="solid">
        <fgColor rgb="FFFCE4E4"/>
        <bgColor rgb="FFFCE4E4"/>
      </patternFill>
    </fill>
  </fills>
  <borders count="11">
    <border/>
    <border>
      <left/>
      <top/>
      <bottom/>
    </border>
    <border>
      <top/>
      <bottom/>
    </border>
    <border>
      <right/>
      <top/>
      <bottom/>
    </border>
    <border>
      <left style="thin">
        <color rgb="FFB8C4D9"/>
      </left>
      <right style="thin">
        <color rgb="FFB8C4D9"/>
      </right>
      <top style="thin">
        <color rgb="FFB8C4D9"/>
      </top>
      <bottom style="thin">
        <color rgb="FFB8C4D9"/>
      </bottom>
    </border>
    <border>
      <left/>
      <right/>
      <top/>
      <bottom/>
    </border>
    <border>
      <left style="thin">
        <color rgb="FFB8C4D9"/>
      </left>
      <top style="thin">
        <color rgb="FFB8C4D9"/>
      </top>
      <bottom style="thin">
        <color rgb="FFB8C4D9"/>
      </bottom>
    </border>
    <border>
      <top style="thin">
        <color rgb="FFB8C4D9"/>
      </top>
      <bottom style="thin">
        <color rgb="FFB8C4D9"/>
      </bottom>
    </border>
    <border>
      <right style="thin">
        <color rgb="FFB8C4D9"/>
      </right>
      <top style="thin">
        <color rgb="FFB8C4D9"/>
      </top>
      <bottom style="thin">
        <color rgb="FFB8C4D9"/>
      </bottom>
    </border>
    <border>
      <top style="thin">
        <color rgb="FFB8C4D9"/>
      </top>
    </border>
    <border>
      <right style="thin">
        <color rgb="FFB8C4D9"/>
      </right>
      <top style="thin">
        <color rgb="FFB8C4D9"/>
      </top>
    </border>
  </borders>
  <cellStyleXfs count="1">
    <xf numFmtId="0" fontId="0" fillId="0" borderId="0"/>
  </cellStyleXfs>
  <cellXfs count="77">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3" borderId="4" applyAlignment="1" pivotButton="0" quotePrefix="0" xfId="0">
      <alignment horizontal="center" vertical="center"/>
    </xf>
    <xf numFmtId="0" fontId="4" fillId="0" borderId="0" pivotButton="0" quotePrefix="0" xfId="0"/>
    <xf numFmtId="0" fontId="5" fillId="0" borderId="0" pivotButton="0" quotePrefix="0" xfId="0"/>
    <xf numFmtId="0" fontId="6" fillId="0" borderId="0" pivotButton="0" quotePrefix="0" xfId="0"/>
    <xf numFmtId="164" fontId="7" fillId="0" borderId="4" applyAlignment="1" pivotButton="0" quotePrefix="0" xfId="0">
      <alignment horizontal="center" vertical="center"/>
    </xf>
    <xf numFmtId="0" fontId="8" fillId="0" borderId="4" applyAlignment="1" pivotButton="0" quotePrefix="0" xfId="0">
      <alignment horizontal="center" vertical="center"/>
    </xf>
    <xf numFmtId="0" fontId="7" fillId="0" borderId="4" pivotButton="0" quotePrefix="0" xfId="0"/>
    <xf numFmtId="0" fontId="7" fillId="0" borderId="4" applyAlignment="1" pivotButton="0" quotePrefix="0" xfId="0">
      <alignment horizontal="left" vertical="center" wrapText="1"/>
    </xf>
    <xf numFmtId="0" fontId="7" fillId="0" borderId="4" applyAlignment="1" pivotButton="0" quotePrefix="0" xfId="0">
      <alignment horizontal="center" vertical="center"/>
    </xf>
    <xf numFmtId="0" fontId="9" fillId="4" borderId="4" applyAlignment="1" pivotButton="0" quotePrefix="0" xfId="0">
      <alignment horizontal="center" vertical="center"/>
    </xf>
    <xf numFmtId="0" fontId="10" fillId="0" borderId="0" pivotButton="0" quotePrefix="0" xfId="0"/>
    <xf numFmtId="3" fontId="7" fillId="0" borderId="4" applyAlignment="1" pivotButton="0" quotePrefix="0" xfId="0">
      <alignment horizontal="right" vertical="center"/>
    </xf>
    <xf numFmtId="0" fontId="11" fillId="0" borderId="4" applyAlignment="1" pivotButton="0" quotePrefix="0" xfId="0">
      <alignment horizontal="center" vertical="center"/>
    </xf>
    <xf numFmtId="165" fontId="7" fillId="5" borderId="4" applyAlignment="1" pivotButton="0" quotePrefix="0" xfId="0">
      <alignment horizontal="center" vertical="center"/>
    </xf>
    <xf numFmtId="166" fontId="7" fillId="5" borderId="4" applyAlignment="1" pivotButton="0" quotePrefix="0" xfId="0">
      <alignment horizontal="center" vertical="center"/>
    </xf>
    <xf numFmtId="166" fontId="7" fillId="0" borderId="4" applyAlignment="1" pivotButton="0" quotePrefix="0" xfId="0">
      <alignment horizontal="center" vertical="center"/>
    </xf>
    <xf numFmtId="0" fontId="5" fillId="0" borderId="4" pivotButton="0" quotePrefix="0" xfId="0"/>
    <xf numFmtId="0" fontId="6" fillId="0" borderId="4" pivotButton="0" quotePrefix="0" xfId="0"/>
    <xf numFmtId="165" fontId="7" fillId="0" borderId="4" applyAlignment="1" pivotButton="0" quotePrefix="0" xfId="0">
      <alignment horizontal="right" vertical="center"/>
    </xf>
    <xf numFmtId="0" fontId="12" fillId="6" borderId="4" applyAlignment="1" pivotButton="0" quotePrefix="0" xfId="0">
      <alignment horizontal="center" vertical="center"/>
    </xf>
    <xf numFmtId="0" fontId="6" fillId="7" borderId="4" pivotButton="0" quotePrefix="0" xfId="0"/>
    <xf numFmtId="0" fontId="7" fillId="7" borderId="4" applyAlignment="1" pivotButton="0" quotePrefix="0" xfId="0">
      <alignment horizontal="center" vertical="center"/>
    </xf>
    <xf numFmtId="3" fontId="7" fillId="7" borderId="4" applyAlignment="1" pivotButton="0" quotePrefix="0" xfId="0">
      <alignment horizontal="right" vertical="center"/>
    </xf>
    <xf numFmtId="166" fontId="7" fillId="5" borderId="4" applyAlignment="1" pivotButton="0" quotePrefix="0" xfId="0">
      <alignment horizontal="center" vertical="center"/>
    </xf>
    <xf numFmtId="166" fontId="7" fillId="7" borderId="4" applyAlignment="1" pivotButton="0" quotePrefix="0" xfId="0">
      <alignment horizontal="center" vertical="center"/>
    </xf>
    <xf numFmtId="164" fontId="7" fillId="7" borderId="4" applyAlignment="1" pivotButton="0" quotePrefix="0" xfId="0">
      <alignment horizontal="center" vertical="center"/>
    </xf>
    <xf numFmtId="3" fontId="7" fillId="0" borderId="4" applyAlignment="1" pivotButton="0" quotePrefix="0" xfId="0">
      <alignment horizontal="center" vertical="center"/>
    </xf>
    <xf numFmtId="165" fontId="7" fillId="7" borderId="4" applyAlignment="1" pivotButton="0" quotePrefix="0" xfId="0">
      <alignment horizontal="right" vertical="center"/>
    </xf>
    <xf numFmtId="0" fontId="13" fillId="6" borderId="4" pivotButton="0" quotePrefix="0" xfId="0"/>
    <xf numFmtId="0" fontId="13" fillId="6" borderId="4" applyAlignment="1" pivotButton="0" quotePrefix="0" xfId="0">
      <alignment horizontal="center" vertical="center"/>
    </xf>
    <xf numFmtId="0" fontId="7" fillId="7" borderId="4" applyAlignment="1" pivotButton="0" quotePrefix="0" xfId="0">
      <alignment horizontal="left" vertical="center" wrapText="1"/>
    </xf>
    <xf numFmtId="0" fontId="11" fillId="7" borderId="4" applyAlignment="1" pivotButton="0" quotePrefix="0" xfId="0">
      <alignment horizontal="center" vertical="center"/>
    </xf>
    <xf numFmtId="0" fontId="5" fillId="7" borderId="4" pivotButton="0" quotePrefix="0" xfId="0"/>
    <xf numFmtId="3" fontId="13" fillId="6" borderId="4" applyAlignment="1" pivotButton="0" quotePrefix="0" xfId="0">
      <alignment horizontal="right" vertical="center"/>
    </xf>
    <xf numFmtId="166" fontId="13" fillId="6" borderId="4" applyAlignment="1" pivotButton="0" quotePrefix="0" xfId="0">
      <alignment horizontal="center" vertical="center"/>
    </xf>
    <xf numFmtId="165" fontId="13" fillId="6" borderId="4" applyAlignment="1" pivotButton="0" quotePrefix="0" xfId="0">
      <alignment horizontal="right" vertical="center"/>
    </xf>
    <xf numFmtId="0" fontId="14" fillId="0" borderId="0" pivotButton="0" quotePrefix="0" xfId="0"/>
    <xf numFmtId="0" fontId="7" fillId="7" borderId="5" pivotButton="0" quotePrefix="0" xfId="0"/>
    <xf numFmtId="0" fontId="7" fillId="7" borderId="4" applyAlignment="1" pivotButton="0" quotePrefix="0" xfId="0">
      <alignment horizontal="left" vertical="center" wrapText="1"/>
    </xf>
    <xf numFmtId="0" fontId="13" fillId="7" borderId="5" applyAlignment="1" pivotButton="0" quotePrefix="0" xfId="0">
      <alignment horizontal="right" vertical="center"/>
    </xf>
    <xf numFmtId="3" fontId="13" fillId="7" borderId="4" applyAlignment="1" pivotButton="0" quotePrefix="0" xfId="0">
      <alignment horizontal="center" vertical="center"/>
    </xf>
    <xf numFmtId="3" fontId="13" fillId="7" borderId="4" applyAlignment="1" pivotButton="0" quotePrefix="0" xfId="0">
      <alignment horizontal="right" vertical="center"/>
    </xf>
    <xf numFmtId="166" fontId="13" fillId="7" borderId="4" applyAlignment="1" pivotButton="0" quotePrefix="0" xfId="0">
      <alignment horizontal="center" vertical="center"/>
    </xf>
    <xf numFmtId="165" fontId="13" fillId="7" borderId="4" applyAlignment="1" pivotButton="0" quotePrefix="0" xfId="0">
      <alignment horizontal="right" vertical="center"/>
    </xf>
    <xf numFmtId="0" fontId="5" fillId="0" borderId="4" applyAlignment="1" pivotButton="0" quotePrefix="0" xfId="0">
      <alignment horizontal="left" vertical="center" wrapText="1"/>
    </xf>
    <xf numFmtId="0" fontId="15" fillId="8" borderId="4" applyAlignment="1" pivotButton="0" quotePrefix="0" xfId="0">
      <alignment horizontal="center" vertical="center"/>
    </xf>
    <xf numFmtId="167" fontId="7" fillId="0" borderId="4" pivotButton="0" quotePrefix="0" xfId="0"/>
    <xf numFmtId="0" fontId="16" fillId="0" borderId="6" applyAlignment="1" pivotButton="0" quotePrefix="0" xfId="0">
      <alignment horizontal="left" vertical="center" wrapText="1"/>
    </xf>
    <xf numFmtId="0" fontId="2" fillId="0" borderId="7" pivotButton="0" quotePrefix="0" xfId="0"/>
    <xf numFmtId="0" fontId="2" fillId="0" borderId="8" pivotButton="0" quotePrefix="0" xfId="0"/>
    <xf numFmtId="0" fontId="7" fillId="6" borderId="4" pivotButton="0" quotePrefix="0" xfId="0"/>
    <xf numFmtId="0" fontId="13" fillId="6" borderId="4" applyAlignment="1" pivotButton="0" quotePrefix="0" xfId="0">
      <alignment horizontal="right" vertical="center"/>
    </xf>
    <xf numFmtId="0" fontId="17" fillId="0" borderId="0" pivotButton="0" quotePrefix="0" xfId="0"/>
    <xf numFmtId="166" fontId="17" fillId="0" borderId="0" pivotButton="0" quotePrefix="0" xfId="0"/>
    <xf numFmtId="3" fontId="13" fillId="6" borderId="4" applyAlignment="1" pivotButton="0" quotePrefix="0" xfId="0">
      <alignment horizontal="center" vertical="center"/>
    </xf>
    <xf numFmtId="164" fontId="7" fillId="7" borderId="4" applyAlignment="1" pivotButton="0" quotePrefix="0" xfId="0">
      <alignment horizontal="center" vertical="center"/>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0" fontId="7" fillId="7" borderId="4" applyAlignment="1" pivotButton="0" quotePrefix="0" xfId="0">
      <alignment horizontal="center" vertical="center"/>
    </xf>
    <xf numFmtId="0" fontId="7" fillId="7" borderId="4" pivotButton="0" quotePrefix="0" xfId="0"/>
    <xf numFmtId="0" fontId="18" fillId="4" borderId="4" applyAlignment="1" pivotButton="0" quotePrefix="0" xfId="0">
      <alignment horizontal="center" vertical="center"/>
    </xf>
    <xf numFmtId="0" fontId="11" fillId="0" borderId="4" pivotButton="0" quotePrefix="0" xfId="0"/>
    <xf numFmtId="0" fontId="18" fillId="6" borderId="4" applyAlignment="1" pivotButton="0" quotePrefix="0" xfId="0">
      <alignment horizontal="center" vertical="center"/>
    </xf>
    <xf numFmtId="0" fontId="13" fillId="0" borderId="0" applyAlignment="1" pivotButton="0" quotePrefix="0" xfId="0">
      <alignment horizontal="right" vertical="center"/>
    </xf>
    <xf numFmtId="164" fontId="7" fillId="7" borderId="6" applyAlignment="1" pivotButton="0" quotePrefix="0" xfId="0">
      <alignment horizontal="center" vertical="center"/>
    </xf>
    <xf numFmtId="0" fontId="7" fillId="0" borderId="7" pivotButton="0" quotePrefix="0" xfId="0"/>
    <xf numFmtId="0" fontId="7" fillId="0" borderId="8" pivotButton="0" quotePrefix="0" xfId="0"/>
    <xf numFmtId="0" fontId="13" fillId="0" borderId="0" pivotButton="0" quotePrefix="0" xfId="0"/>
    <xf numFmtId="0" fontId="0" fillId="0" borderId="0" pivotButton="0" quotePrefix="0" xfId="0"/>
    <xf numFmtId="0" fontId="1" fillId="2" borderId="5" applyAlignment="1" pivotButton="0" quotePrefix="0" xfId="0">
      <alignment horizontal="left" vertical="center"/>
    </xf>
    <xf numFmtId="0" fontId="16" fillId="0" borderId="4" applyAlignment="1" pivotButton="0" quotePrefix="0" xfId="0">
      <alignment horizontal="left" vertical="center" wrapText="1"/>
    </xf>
    <xf numFmtId="0" fontId="0" fillId="0" borderId="7" pivotButton="0" quotePrefix="0" xfId="0"/>
    <xf numFmtId="0" fontId="0" fillId="0" borderId="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4"/>
  <sheetViews>
    <sheetView showGridLines="0" workbookViewId="0">
      <pane ySplit="2" topLeftCell="A3" activePane="bottomLeft" state="frozen"/>
      <selection pane="bottomLeft" activeCell="B4" sqref="B4"/>
    </sheetView>
  </sheetViews>
  <sheetFormatPr baseColWidth="8" defaultColWidth="14.43" defaultRowHeight="15" customHeight="1"/>
  <cols>
    <col width="3" customWidth="1" style="72" min="1" max="1"/>
    <col width="30" customWidth="1" style="72" min="2" max="2"/>
    <col width="16" customWidth="1" style="72" min="3" max="4"/>
    <col width="18" customWidth="1" style="72" min="5" max="5"/>
    <col width="14" customWidth="1" style="72" min="6" max="6"/>
    <col width="16" customWidth="1" style="72" min="7" max="7"/>
    <col width="40" customWidth="1" style="72" min="8" max="8"/>
    <col width="8.710000000000001" customWidth="1" style="72" min="9" max="26"/>
  </cols>
  <sheetData>
    <row r="1" ht="30" customHeight="1" s="72">
      <c r="A1" s="73" t="inlineStr">
        <is>
          <t xml:space="preserve">  PROYECTO BODYCAM / AERIANEXUS — control de horas</t>
        </is>
      </c>
    </row>
    <row r="3">
      <c r="B3" s="5" t="inlineStr">
        <is>
          <t>Datos del proyecto</t>
        </is>
      </c>
    </row>
    <row r="4">
      <c r="B4" s="7" t="inlineStr">
        <is>
          <t>Inicio del proyecto</t>
        </is>
      </c>
      <c r="C4" s="8" t="n">
        <v>46135</v>
      </c>
      <c r="D4" s="6" t="inlineStr">
        <is>
          <t>primer commit de BodyCamServer</t>
        </is>
      </c>
    </row>
    <row r="5">
      <c r="B5" s="7" t="inlineStr">
        <is>
          <t>Último pago recibido</t>
        </is>
      </c>
      <c r="C5" s="8" t="n">
        <v>46227</v>
      </c>
      <c r="D5" s="6" t="inlineStr">
        <is>
          <t>cubre hasta la entrega #3 (2026-07-22)</t>
        </is>
      </c>
    </row>
    <row r="6">
      <c r="B6" s="7" t="inlineStr">
        <is>
          <t>Última entrega</t>
        </is>
      </c>
      <c r="C6" s="8" t="n">
        <v>46243</v>
      </c>
      <c r="D6" s="6" t="inlineStr">
        <is>
          <t>BodyCamServer · d4a4709</t>
        </is>
      </c>
    </row>
    <row r="7">
      <c r="B7" s="7" t="inlineStr">
        <is>
          <t>Fecha de este informe</t>
        </is>
      </c>
      <c r="C7" s="8" t="n">
        <v>46273</v>
      </c>
      <c r="D7" s="6" t="inlineStr">
        <is>
          <t>46 dias desde el pago</t>
        </is>
      </c>
    </row>
    <row r="9">
      <c r="B9" s="14" t="inlineStr">
        <is>
          <t>Tarifa por hora (rellenar)</t>
        </is>
      </c>
      <c r="C9" s="17" t="n">
        <v>20</v>
      </c>
      <c r="D9" s="6" t="inlineStr">
        <is>
          <t>← escribe aquí tu tarifa; los importes se calculan solos</t>
        </is>
      </c>
    </row>
    <row r="11">
      <c r="B11" s="5" t="inlineStr">
        <is>
          <t>PENDIENTE DE FACTURAR — desde el pago del 2026-07-24</t>
        </is>
      </c>
    </row>
    <row r="12" ht="27.75" customHeight="1" s="72">
      <c r="B12" s="4" t="inlineStr">
        <is>
          <t>Aplicación</t>
        </is>
      </c>
      <c r="C12" s="4" t="inlineStr">
        <is>
          <t>Bloques</t>
        </is>
      </c>
      <c r="D12" s="4" t="inlineStr">
        <is>
          <t>Días activ.</t>
        </is>
      </c>
      <c r="E12" s="4" t="inlineStr">
        <is>
          <t>Líneas código</t>
        </is>
      </c>
      <c r="F12" s="4" t="inlineStr">
        <is>
          <t>Horas</t>
        </is>
      </c>
      <c r="G12" s="4" t="inlineStr">
        <is>
          <t>Importe</t>
        </is>
      </c>
    </row>
    <row r="13">
      <c r="B13" s="21" t="inlineStr">
        <is>
          <t>BodyCamServer</t>
        </is>
      </c>
      <c r="C13" s="60" t="inlineStr">
        <is>
          <t>BC-1, BC-2, BC-3, BC-4, BC-5, ADM</t>
        </is>
      </c>
      <c r="D13" s="60" t="n">
        <v>6</v>
      </c>
      <c r="E13" s="15" t="n">
        <v>6860</v>
      </c>
      <c r="F13" s="19">
        <f>SUMIFS(Sesiones!$D:$D,Sesiones!$B:$B,"BC",Sesiones!$A:$A,"&gt;="&amp;DATE(2026,7,24))</f>
        <v/>
      </c>
      <c r="G13" s="22">
        <f>F13*Resumen!$C$9</f>
        <v/>
      </c>
    </row>
    <row r="14">
      <c r="B14" s="24" t="inlineStr">
        <is>
          <t>AeriaNexusPrototype</t>
        </is>
      </c>
      <c r="C14" s="62" t="inlineStr">
        <is>
          <t>AN-1</t>
        </is>
      </c>
      <c r="D14" s="62" t="n">
        <v>1</v>
      </c>
      <c r="E14" s="26" t="n">
        <v>799</v>
      </c>
      <c r="F14" s="28">
        <f>SUMIFS(Sesiones!$D:$D,Sesiones!$B:$B,"AN",Sesiones!$A:$A,"&gt;="&amp;DATE(2026,7,24))</f>
        <v/>
      </c>
      <c r="G14" s="31">
        <f>F14*Resumen!$C$9</f>
        <v/>
      </c>
    </row>
    <row r="15">
      <c r="B15" s="32" t="inlineStr">
        <is>
          <t>TOTAL PROYECTO</t>
        </is>
      </c>
      <c r="C15" s="33" t="n">
        <v>6</v>
      </c>
      <c r="D15" s="33">
        <f>SUM(D13:D14)</f>
        <v/>
      </c>
      <c r="E15" s="37">
        <f>SUM(E13:E14)</f>
        <v/>
      </c>
      <c r="F15" s="38">
        <f>SUM(F13:F14)</f>
        <v/>
      </c>
      <c r="G15" s="39">
        <f>SUM(G13:G14)</f>
        <v/>
      </c>
    </row>
    <row r="17" ht="27.75" customHeight="1" s="72">
      <c r="B17" s="40" t="inlineStr">
        <is>
          <t>Horas del 09 y 14 de agosto reconstruidas a posteriori (6,0 h cada una). Del 15 de agosto en adelante registradas en tiempo real. El 25 de agosto es el primer dia desde el pago con trabajo en las DOS aplicaciones. Total pendiente de facturar: 26,7 h = 534 EUR.</t>
        </is>
      </c>
    </row>
    <row r="19">
      <c r="B19" s="5" t="inlineStr">
        <is>
          <t>ACUMULADO TOTAL DEL PROYECTO (todo el histórico)</t>
        </is>
      </c>
    </row>
    <row r="20" ht="27.75" customHeight="1" s="72">
      <c r="B20" s="4" t="inlineStr">
        <is>
          <t>Aplicación</t>
        </is>
      </c>
      <c r="C20" s="4" t="inlineStr">
        <is>
          <t>Horas registradas</t>
        </is>
      </c>
      <c r="D20" s="4" t="inlineStr">
        <is>
          <t>Importe</t>
        </is>
      </c>
    </row>
    <row r="21" ht="15.75" customHeight="1" s="72">
      <c r="B21" s="21" t="inlineStr">
        <is>
          <t>BodyCamServer</t>
        </is>
      </c>
      <c r="C21" s="19">
        <f>SUMIF(Sesiones!$B:$B,"BC",Sesiones!$D:$D)</f>
        <v/>
      </c>
      <c r="D21" s="22">
        <f>C21*Resumen!$C$9</f>
        <v/>
      </c>
    </row>
    <row r="22" ht="15.75" customHeight="1" s="72">
      <c r="B22" s="24" t="inlineStr">
        <is>
          <t>AeriaNexusPrototype</t>
        </is>
      </c>
      <c r="C22" s="28">
        <f>SUMIF(Sesiones!$B:$B,"AN",Sesiones!$D:$D)</f>
        <v/>
      </c>
      <c r="D22" s="31">
        <f>C22*Resumen!$C$9</f>
        <v/>
      </c>
    </row>
    <row r="23" ht="15.75" customHeight="1" s="72">
      <c r="B23" s="32" t="inlineStr">
        <is>
          <t>TOTAL</t>
        </is>
      </c>
      <c r="C23" s="38">
        <f>SUM(C21:C22)</f>
        <v/>
      </c>
      <c r="D23" s="39">
        <f>SUM(D21:D22)</f>
        <v/>
      </c>
    </row>
    <row r="24" ht="15.75" customHeight="1" s="72"/>
    <row r="25" ht="15.75" customHeight="1" s="72">
      <c r="B25" s="5" t="inlineStr">
        <is>
          <t>AVISOS</t>
        </is>
      </c>
    </row>
    <row r="26" ht="30" customHeight="1" s="72">
      <c r="B26" s="49" t="inlineStr">
        <is>
          <t>OK - RESUELTO</t>
        </is>
      </c>
      <c r="C26" s="74" t="inlineStr">
        <is>
          <t>El conflicto BC-2/CameraController quedo resuelto en el merge: CameraController y RecorderWatch eliminados (sin llamantes).</t>
        </is>
      </c>
      <c r="D26" s="75" t="n"/>
      <c r="E26" s="75" t="n"/>
      <c r="F26" s="75" t="n"/>
      <c r="G26" s="75" t="n"/>
      <c r="H26" s="76" t="n"/>
    </row>
    <row r="27" ht="30" customHeight="1" s="72">
      <c r="B27" s="49" t="inlineStr">
        <is>
          <t>OK - DIVERGENCIA CERRADA</t>
        </is>
      </c>
      <c r="C27" s="74" t="inlineStr">
        <is>
          <t>Merge 06008b2 (2026-08-23): develop contiene todo main y es la rama principal. Grabacion continua con pre-roll de 20 s validada en la unidad fisica.</t>
        </is>
      </c>
      <c r="D27" s="75" t="n"/>
      <c r="E27" s="75" t="n"/>
      <c r="F27" s="75" t="n"/>
      <c r="G27" s="75" t="n"/>
      <c r="H27" s="76" t="n"/>
    </row>
    <row r="28" ht="30" customHeight="1" s="72">
      <c r="B28" s="49" t="inlineStr">
        <is>
          <t>ℹ NATURALEZA</t>
        </is>
      </c>
      <c r="C28" s="74" t="inlineStr">
        <is>
          <t>BC-2 es medicion previa al cifrado, no una funcionalidad terminada; convendria facturarlo como investigacion. La funcionalidad si esta terminada en BC-5 (25-ago): la evidencia sale cifrada y hasheada de la unidad, validado en hardware. BLOQUEADO por decision del manager: custodia de la clave. Hasta que llegue la publica de Nexus la subida envia el MP4 en claro a proposito, porque el servidor no podria abrir un .fev cifrado solo para el Keystore de la unidad.</t>
        </is>
      </c>
      <c r="D28" s="75" t="n"/>
      <c r="E28" s="75" t="n"/>
      <c r="F28" s="75" t="n"/>
      <c r="G28" s="75" t="n"/>
      <c r="H28" s="76" t="n"/>
    </row>
    <row r="29" ht="15.75" customHeight="1" s="72"/>
    <row r="30" ht="15.75" customHeight="1" s="72">
      <c r="B30" s="5" t="inlineStr">
        <is>
          <t>OBJETIVO DE FACTURACION — cierre de septiembre 2026</t>
        </is>
      </c>
    </row>
    <row r="31" ht="15.75" customHeight="1" s="72">
      <c r="B31" s="56" t="inlineStr">
        <is>
          <t>Registrado a 2026-09-08</t>
        </is>
      </c>
      <c r="C31" s="57">
        <f>Resumen!C23</f>
        <v/>
      </c>
      <c r="D31" s="56">
        <f>C31*Resumen!$C$9</f>
        <v/>
      </c>
    </row>
    <row r="32" ht="15.75" customHeight="1" s="72">
      <c r="B32" s="56" t="inlineStr">
        <is>
          <t>Objetivo minimo (horas / importe)</t>
        </is>
      </c>
      <c r="C32" s="56" t="n">
        <v>100</v>
      </c>
      <c r="D32" s="56">
        <f>C32*Resumen!$C$9</f>
        <v/>
      </c>
    </row>
    <row r="33" ht="15.75" customHeight="1" s="72">
      <c r="B33" s="56" t="inlineStr">
        <is>
          <t>Pendiente de generar</t>
        </is>
      </c>
      <c r="C33" s="57">
        <f>C32-C31</f>
        <v/>
      </c>
      <c r="D33" s="56">
        <f>C33*Resumen!$C$9</f>
        <v/>
      </c>
    </row>
    <row r="34" ht="15.75" customHeight="1" s="72">
      <c r="B34" s="56" t="inlineStr">
        <is>
          <t>A 30 h/semana las 73,3 h restantes se cubren en ~2,4 semanas: el umbral de 2000 EUR se cruza alrededor del viernes 11 de septiembre de 2026. La ventana 25-ago -&gt; 30-sep (5 semanas + 1 dia) da capacidad para ~154 h = hasta ~181 h acumuladas = ~3614 EUR.</t>
        </is>
      </c>
    </row>
    <row r="35" ht="15.75" customHeight="1" s="72"/>
    <row r="36" ht="15.75" customHeight="1" s="72"/>
    <row r="37" ht="15.75" customHeight="1" s="72"/>
    <row r="38" ht="15.75" customHeight="1" s="72"/>
    <row r="39" ht="15.75" customHeight="1" s="72"/>
    <row r="40" ht="15.75" customHeight="1" s="72"/>
    <row r="41" ht="15.75" customHeight="1" s="72"/>
    <row r="42" ht="15.75" customHeight="1" s="72"/>
    <row r="43" ht="15.75" customHeight="1" s="72"/>
    <row r="44" ht="15.75" customHeight="1" s="72"/>
    <row r="45" ht="15.75" customHeight="1" s="72"/>
    <row r="46" ht="15.75" customHeight="1" s="72"/>
    <row r="47" ht="15.75" customHeight="1" s="72"/>
    <row r="48" ht="15.75" customHeight="1" s="72"/>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5">
    <mergeCell ref="A1:H1"/>
    <mergeCell ref="B17:H17"/>
    <mergeCell ref="C28:H28"/>
    <mergeCell ref="C27:H27"/>
    <mergeCell ref="C26:H26"/>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48"/>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72" min="1" max="1"/>
    <col width="8" customWidth="1" style="72" min="2" max="2"/>
    <col width="11" customWidth="1" style="72" min="3" max="3"/>
    <col width="9" customWidth="1" style="72" min="4" max="4"/>
    <col width="77.43000000000001" customWidth="1" style="72" min="5" max="5"/>
    <col width="16" customWidth="1" style="72" min="6" max="6"/>
    <col width="14" customWidth="1" style="72" min="7" max="7"/>
    <col width="22" customWidth="1" style="72" min="8" max="8"/>
    <col width="8.710000000000001" customWidth="1" style="72" min="9" max="26"/>
  </cols>
  <sheetData>
    <row r="1" ht="30" customHeight="1" s="72">
      <c r="A1" s="73" t="inlineStr">
        <is>
          <t xml:space="preserve">  SESIONES DE TRABAJO — rellena una fila por sesión</t>
        </is>
      </c>
    </row>
    <row r="2">
      <c r="A2" s="6" t="inlineStr">
        <is>
          <t>Una hora siempre se imputa a UNA app y a UN bloque. Si una sesión toca las dos apps, pártela en dos filas: si no, los subtotales por aplicación dejan de cuadrar.</t>
        </is>
      </c>
    </row>
    <row r="3" ht="27.75" customHeight="1" s="72">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row>
    <row r="4" ht="45.75" customHeight="1" s="72">
      <c r="A4" s="8" t="n">
        <v>46243</v>
      </c>
      <c r="B4" s="60" t="inlineStr">
        <is>
          <t>BC</t>
        </is>
      </c>
      <c r="C4" s="60" t="inlineStr">
        <is>
          <t>BC-1</t>
        </is>
      </c>
      <c r="D4" s="27" t="n">
        <v>6</v>
      </c>
      <c r="E4" s="61" t="inlineStr">
        <is>
          <t>Grabación continua: EvidenceStore (buffer en anillo, pre-roll 120 s, segmentos 8 MB), reescritura de RecordingActivity, retirada de CameraController</t>
        </is>
      </c>
      <c r="F4" s="16" t="inlineStr">
        <is>
          <t>d4a4709</t>
        </is>
      </c>
      <c r="G4" s="60" t="inlineStr">
        <is>
          <t>No</t>
        </is>
      </c>
      <c r="H4" s="20" t="n"/>
    </row>
    <row r="5" ht="45.75" customHeight="1" s="72">
      <c r="A5" s="8" t="n">
        <v>46248</v>
      </c>
      <c r="B5" s="60" t="inlineStr">
        <is>
          <t>BC</t>
        </is>
      </c>
      <c r="C5" s="60" t="inlineStr">
        <is>
          <t>BC-2</t>
        </is>
      </c>
      <c r="D5" s="27" t="n">
        <v>6</v>
      </c>
      <c r="E5" s="61" t="inlineStr">
        <is>
          <t>Cifrado (medicion): CryptoBenchmark (SHA-256 + AES-256-GCM por bloques), RecorderWatch (watchdog de grabaciones largas), endpoint /benchmark, fix de path traversal, 2 scripts Python, testing con videos reales</t>
        </is>
      </c>
      <c r="F5" s="16" t="inlineStr">
        <is>
          <t>sin commitear</t>
        </is>
      </c>
      <c r="G5" s="60" t="inlineStr">
        <is>
          <t>No</t>
        </is>
      </c>
      <c r="H5" s="20" t="n"/>
    </row>
    <row r="6" ht="45.75" customHeight="1" s="72">
      <c r="A6" s="8" t="n">
        <v>46249</v>
      </c>
      <c r="B6" s="60" t="inlineStr">
        <is>
          <t>BC</t>
        </is>
      </c>
      <c r="C6" s="60" t="n"/>
      <c r="D6" s="27" t="n">
        <v>0</v>
      </c>
      <c r="E6" s="61" t="inlineStr">
        <is>
          <t>Alta del sistema de seguimiento de horas (cubre las dos apps)</t>
        </is>
      </c>
      <c r="F6" s="16" t="inlineStr">
        <is>
          <t>pendiente</t>
        </is>
      </c>
      <c r="G6" s="60" t="inlineStr">
        <is>
          <t>No</t>
        </is>
      </c>
      <c r="H6" s="20" t="n"/>
    </row>
    <row r="7" ht="45.75" customHeight="1" s="72">
      <c r="A7" s="8" t="n">
        <v>46249</v>
      </c>
      <c r="B7" s="60" t="inlineStr">
        <is>
          <t>BC</t>
        </is>
      </c>
      <c r="C7" s="60" t="inlineStr">
        <is>
          <t>BC-3</t>
        </is>
      </c>
      <c r="D7" s="27" t="n">
        <v>1.5</v>
      </c>
      <c r="E7" s="61" t="inlineStr">
        <is>
          <t>Pantalla en reposo al grabar + cronometro en RecordingActivity. Compilado y desplegado en la unidad</t>
        </is>
      </c>
      <c r="F7" s="16" t="inlineStr">
        <is>
          <t>sin commitear</t>
        </is>
      </c>
      <c r="G7" s="60" t="inlineStr">
        <is>
          <t>No</t>
        </is>
      </c>
      <c r="H7" s="20" t="n"/>
    </row>
    <row r="8" ht="45.75" customHeight="1" s="72">
      <c r="A8" s="59" t="n">
        <v>46249</v>
      </c>
      <c r="B8" s="62" t="inlineStr">
        <is>
          <t>BC</t>
        </is>
      </c>
      <c r="C8" s="62" t="inlineStr">
        <is>
          <t>BC-2</t>
        </is>
      </c>
      <c r="D8" s="27" t="n">
        <v>3</v>
      </c>
      <c r="E8" s="42" t="inlineStr">
        <is>
          <t>Cifrado (medicion): CryptoBenchmark (SHA-256 + AES-256-GCM por bloques) CONTINUACION</t>
        </is>
      </c>
      <c r="F8" s="35" t="inlineStr">
        <is>
          <t>sin commitear</t>
        </is>
      </c>
      <c r="G8" s="62" t="inlineStr">
        <is>
          <t>No</t>
        </is>
      </c>
      <c r="H8" s="36" t="n"/>
    </row>
    <row r="9">
      <c r="A9" s="59" t="n">
        <v>46250</v>
      </c>
      <c r="B9" s="62" t="inlineStr">
        <is>
          <t>BC</t>
        </is>
      </c>
      <c r="C9" s="62" t="inlineStr">
        <is>
          <t>BC-1</t>
        </is>
      </c>
      <c r="D9" s="27" t="n">
        <v>2</v>
      </c>
      <c r="E9" s="42" t="inlineStr">
        <is>
          <t>Funcionalidad Subir a servidor yes/no, visualizacion de tiempo de grabacion</t>
        </is>
      </c>
      <c r="F9" s="35" t="inlineStr">
        <is>
          <t>sin commitear</t>
        </is>
      </c>
      <c r="G9" s="62" t="inlineStr">
        <is>
          <t>No</t>
        </is>
      </c>
      <c r="H9" s="36" t="n"/>
    </row>
    <row r="10">
      <c r="A10" s="59" t="n">
        <v>46250</v>
      </c>
      <c r="B10" s="62" t="inlineStr">
        <is>
          <t>BC</t>
        </is>
      </c>
      <c r="C10" s="62" t="n"/>
      <c r="D10" s="27" t="n">
        <v>3</v>
      </c>
      <c r="E10" s="42" t="inlineStr">
        <is>
          <t>Reuniones semana del 17 agosto al 28</t>
        </is>
      </c>
      <c r="F10" s="35" t="n"/>
      <c r="G10" s="62" t="inlineStr">
        <is>
          <t>No</t>
        </is>
      </c>
      <c r="H10" s="36" t="n"/>
    </row>
    <row r="11">
      <c r="A11" s="59" t="n">
        <v>46257</v>
      </c>
      <c r="B11" s="62" t="inlineStr">
        <is>
          <t>BC</t>
        </is>
      </c>
      <c r="C11" s="62" t="n"/>
      <c r="D11" s="27" t="n">
        <v>0.5</v>
      </c>
      <c r="E11" s="42" t="inlineStr">
        <is>
          <t>Analisis del Security Feature List (34 features: 15 viables sin backend, 12 parciales, 7 bloqueadas), ruta de desarrollo hasta fin de septiembre y actualizacion del seguimiento</t>
        </is>
      </c>
      <c r="F11" s="35" t="inlineStr">
        <is>
          <t>db04e55</t>
        </is>
      </c>
      <c r="G11" s="62" t="inlineStr">
        <is>
          <t>No</t>
        </is>
      </c>
      <c r="H11" s="36" t="n"/>
    </row>
    <row r="12">
      <c r="A12" s="59" t="n">
        <v>46257</v>
      </c>
      <c r="B12" s="62" t="inlineStr">
        <is>
          <t>BC</t>
        </is>
      </c>
      <c r="C12" s="62" t="inlineStr">
        <is>
          <t>BC-4</t>
        </is>
      </c>
      <c r="D12" s="27" t="n">
        <v>2</v>
      </c>
      <c r="E12" s="42"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35" t="inlineStr">
        <is>
          <t>db04e55, a599da9</t>
        </is>
      </c>
      <c r="G12" s="62" t="inlineStr">
        <is>
          <t>No</t>
        </is>
      </c>
      <c r="H12" s="36" t="n"/>
    </row>
    <row r="13">
      <c r="A13" s="59" t="n">
        <v>46257</v>
      </c>
      <c r="B13" s="62" t="inlineStr">
        <is>
          <t>BC</t>
        </is>
      </c>
      <c r="C13" s="62" t="inlineStr">
        <is>
          <t>BC-1</t>
        </is>
      </c>
      <c r="D13" s="27" t="n">
        <v>1</v>
      </c>
      <c r="E13" s="42"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35" t="inlineStr">
        <is>
          <t>06008b2, 56d5478, 99b42a6, f2e7e52</t>
        </is>
      </c>
      <c r="G13" s="62" t="inlineStr">
        <is>
          <t>No</t>
        </is>
      </c>
      <c r="H13" s="36" t="n"/>
    </row>
    <row r="14">
      <c r="A14" s="59" t="n">
        <v>46257</v>
      </c>
      <c r="B14" s="62" t="inlineStr">
        <is>
          <t>BC</t>
        </is>
      </c>
      <c r="C14" s="62" t="inlineStr">
        <is>
          <t>BC-1</t>
        </is>
      </c>
      <c r="D14" s="27" t="n">
        <v>2</v>
      </c>
      <c r="E14" s="42"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35" t="inlineStr">
        <is>
          <t>671cab7, 48892dd, b00332f, 4373116, a25c0c7</t>
        </is>
      </c>
      <c r="G14" s="62" t="inlineStr">
        <is>
          <t>No</t>
        </is>
      </c>
      <c r="H14" s="36" t="n"/>
    </row>
    <row r="15">
      <c r="A15" s="59" t="n">
        <v>46259</v>
      </c>
      <c r="B15" s="62" t="inlineStr">
        <is>
          <t>BC</t>
        </is>
      </c>
      <c r="C15" s="62" t="inlineStr">
        <is>
          <t>BC-5</t>
        </is>
      </c>
      <c r="D15" s="27" t="n">
        <v>3</v>
      </c>
      <c r="E15" s="42"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35" t="inlineStr">
        <is>
          <t>81f0995</t>
        </is>
      </c>
      <c r="G15" s="62" t="inlineStr">
        <is>
          <t>No</t>
        </is>
      </c>
      <c r="H15" s="36" t="n"/>
    </row>
    <row r="16">
      <c r="A16" s="59" t="n">
        <v>46259</v>
      </c>
      <c r="B16" s="62" t="inlineStr">
        <is>
          <t>AN</t>
        </is>
      </c>
      <c r="C16" s="62" t="inlineStr">
        <is>
          <t>AN-1</t>
        </is>
      </c>
      <c r="D16" s="27" t="n">
        <v>3</v>
      </c>
      <c r="E16" s="42"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35" t="inlineStr">
        <is>
          <t>sin commitear</t>
        </is>
      </c>
      <c r="G16" s="62" t="inlineStr">
        <is>
          <t>No</t>
        </is>
      </c>
      <c r="H16" s="36" t="n"/>
    </row>
    <row r="17">
      <c r="A17" s="59" t="n">
        <v>46260</v>
      </c>
      <c r="B17" s="60" t="inlineStr">
        <is>
          <t>BC</t>
        </is>
      </c>
      <c r="C17" s="60" t="inlineStr">
        <is>
          <t>BC-6</t>
        </is>
      </c>
      <c r="D17" s="27" t="n">
        <v>4</v>
      </c>
      <c r="E17" s="6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0" t="n"/>
      <c r="G17" s="10" t="n"/>
      <c r="H17" s="10" t="n"/>
    </row>
    <row r="18">
      <c r="A18" s="59" t="n">
        <v>46260</v>
      </c>
      <c r="B18" s="62" t="inlineStr">
        <is>
          <t>AN</t>
        </is>
      </c>
      <c r="C18" s="62" t="inlineStr">
        <is>
          <t>AN-1</t>
        </is>
      </c>
      <c r="D18" s="27" t="n">
        <v>3</v>
      </c>
      <c r="E18" s="42" t="inlineStr">
        <is>
          <t>Destinatario srv: del teléfono alineado con el de la unidad, y validado en hardware: cifra para los dos, el servidor lo abre, el hash de Room es el real</t>
        </is>
      </c>
      <c r="F18" s="63" t="n"/>
      <c r="G18" s="63" t="n"/>
      <c r="H18" s="63" t="n"/>
    </row>
    <row r="19">
      <c r="A19" s="59" t="n">
        <v>46260</v>
      </c>
      <c r="B19" s="62" t="inlineStr">
        <is>
          <t>AN</t>
        </is>
      </c>
      <c r="C19" s="62" t="inlineStr">
        <is>
          <t>AN-1</t>
        </is>
      </c>
      <c r="D19" s="27" t="n">
        <v>2</v>
      </c>
      <c r="E19" s="61" t="inlineStr">
        <is>
          <t>Subida por bloques portada al teléfono: data/upload/ completo, enganche en foto, vídeo y audio, reconciliación del estado  de sincronización. Validado: vídeo de 68 MB con corte y reanudación, más dos ficheros retomados solos al arrancar</t>
        </is>
      </c>
      <c r="F19" s="10" t="n"/>
      <c r="G19" s="10" t="n"/>
      <c r="H19" s="10" t="n"/>
    </row>
    <row r="20">
      <c r="A20" s="59" t="n">
        <v>46261</v>
      </c>
      <c r="B20" s="62" t="inlineStr">
        <is>
          <t>BC</t>
        </is>
      </c>
      <c r="C20" s="62" t="inlineStr">
        <is>
          <t>BC-1</t>
        </is>
      </c>
      <c r="D20" s="27" t="n">
        <v>1</v>
      </c>
      <c r="E20" s="42" t="inlineStr">
        <is>
          <t>Inventario de entrega a backend: revisión del contrato de subida, formato de cifrado y manifest.
Detectados 4 huecos (esquema del manifest.json sin documentar, falta juego de muestra, endpoint HTTPS + CA, rechazo
de kid dev-*)</t>
        </is>
      </c>
      <c r="F20" s="63" t="n"/>
      <c r="G20" s="63" t="n"/>
      <c r="H20" s="63" t="n"/>
    </row>
    <row r="21" ht="15.75" customHeight="1" s="72">
      <c r="A21" s="59" t="n">
        <v>46261</v>
      </c>
      <c r="B21" s="60" t="inlineStr">
        <is>
          <t>BC</t>
        </is>
      </c>
      <c r="C21" s="60" t="inlineStr">
        <is>
          <t>BC-1</t>
        </is>
      </c>
      <c r="D21" s="27" t="n">
        <v>1</v>
      </c>
      <c r="E21" s="61" t="inlineStr">
        <is>
          <t xml:space="preserve"> Firma de release: keystore único de proyecto (PKCS12, RSA 4096), signingConfig vía local.properties,
versión 1.2→1.3 (code 4), APK firmado y verificado (v2)</t>
        </is>
      </c>
      <c r="F21" s="10" t="n"/>
      <c r="G21" s="10" t="n"/>
      <c r="H21" s="10" t="n"/>
    </row>
    <row r="22" ht="15.75" customHeight="1" s="72">
      <c r="A22" s="59" t="n">
        <v>46261</v>
      </c>
      <c r="B22" s="62" t="inlineStr">
        <is>
          <t>AN</t>
        </is>
      </c>
      <c r="C22" s="62" t="inlineStr">
        <is>
          <t>AN-1</t>
        </is>
      </c>
      <c r="D22" s="27" t="n">
        <v>1</v>
      </c>
      <c r="E22" s="42" t="inlineStr">
        <is>
          <t xml:space="preserve"> Firma de release con el mismo keystore, versión 1.0→1.1 (code 2), APK firmado y verificado. R8 con minify</t>
        </is>
      </c>
      <c r="F22" s="63" t="n"/>
      <c r="G22" s="63" t="n"/>
      <c r="H22" s="63" t="n"/>
    </row>
    <row r="23" ht="15.75" customHeight="1" s="72">
      <c r="A23" s="59" t="n">
        <v>46263</v>
      </c>
      <c r="B23" s="60" t="inlineStr">
        <is>
          <t>AN</t>
        </is>
      </c>
      <c r="C23" s="60" t="inlineStr">
        <is>
          <t>AN-1</t>
        </is>
      </c>
      <c r="D23" s="27" t="n">
        <v>3</v>
      </c>
      <c r="E23" s="6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0" t="n"/>
      <c r="G23" s="10" t="n"/>
      <c r="H23" s="10" t="n"/>
    </row>
    <row r="24" ht="15.75" customHeight="1" s="72">
      <c r="A24" s="59" t="n">
        <v>46264</v>
      </c>
      <c r="B24" s="62" t="inlineStr">
        <is>
          <t>AN</t>
        </is>
      </c>
      <c r="C24" s="62" t="inlineStr">
        <is>
          <t>AN-1</t>
        </is>
      </c>
      <c r="D24" s="27" t="n">
        <v>2</v>
      </c>
      <c r="E24" s="42" t="inlineStr">
        <is>
          <t xml:space="preserve"> reproductor de audio dentro de la app , nota de audio enlazada al cerrar el incidente. Clasificación de la nota de audio + cierre encadenado; pruebas con adb</t>
        </is>
      </c>
      <c r="F24" s="63" t="n"/>
      <c r="G24" s="63" t="n"/>
      <c r="H24" s="63" t="n"/>
    </row>
    <row r="25" ht="15.75" customHeight="1" s="72">
      <c r="A25" s="59" t="n">
        <v>46273</v>
      </c>
      <c r="B25" s="62" t="inlineStr">
        <is>
          <t>BC</t>
        </is>
      </c>
      <c r="C25" s="62" t="inlineStr">
        <is>
          <t>BC-8</t>
        </is>
      </c>
      <c r="D25" s="27" t="n">
        <v>2.8</v>
      </c>
      <c r="E25" s="42" t="inlineStr">
        <is>
          <t>PTT por Agora en la bodycam. Boton F2 medido por logcat (el broadcast solo llega al SOLTAR, el firmware inyecta BACK al segundo de mantenerlo, autorepeat con la Activity en foco): por eso es conmutador y no mantener-para-hablar. Una sola puerta en BtServerService, sesion solo-audio que no toca la camara ni dispara SOS, cesion del microfono al anillo (conflicto de captura medido: warning 1033 / error 1165) y watchdog de captura para que nunca diga ON transmitiendo silencio. Validado en la unidad</t>
        </is>
      </c>
      <c r="F25" s="63" t="inlineStr">
        <is>
          <t>sin commitear</t>
        </is>
      </c>
      <c r="G25" s="63" t="inlineStr">
        <is>
          <t>No</t>
        </is>
      </c>
      <c r="H25" s="63" t="inlineStr">
        <is>
          <t>Marcas de fichero 12:33-16:39; reparto por app estimado</t>
        </is>
      </c>
    </row>
    <row r="26" ht="15.75" customHeight="1" s="72">
      <c r="A26" s="59" t="n">
        <v>46273</v>
      </c>
      <c r="B26" s="62" t="inlineStr">
        <is>
          <t>AN</t>
        </is>
      </c>
      <c r="C26" s="62" t="inlineStr">
        <is>
          <t>AN-4</t>
        </is>
      </c>
      <c r="D26" s="27" t="n">
        <v>1.5</v>
      </c>
      <c r="E26" s="42" t="inlineStr">
        <is>
          <t>Recepcion del PTT en el telefono: excepcion de escucha al uid 9001 (con autoSubscribeAudio=false nadie oia a la bodycam), estado por onRemoteAudioStateChanged tratando FROZEN como voz viva, y banda de aviso PttAvisoOverlay por encima de la navegacion pero por debajo del SOS. Verificado con la W1 y el Redmi a la vez</t>
        </is>
      </c>
      <c r="F26" s="63" t="inlineStr">
        <is>
          <t>sin commitear</t>
        </is>
      </c>
      <c r="G26" s="63" t="inlineStr">
        <is>
          <t>No</t>
        </is>
      </c>
      <c r="H26" s="63" t="inlineStr">
        <is>
          <t>Marcas de fichero 12:33-16:53; reparto por app estimado</t>
        </is>
      </c>
    </row>
    <row r="27" ht="15.75" customHeight="1" s="72">
      <c r="A27" s="59" t="n">
        <v>46273</v>
      </c>
      <c r="B27" s="62" t="inlineStr">
        <is>
          <t>AN</t>
        </is>
      </c>
      <c r="C27" s="62" t="inlineStr">
        <is>
          <t>AN-4</t>
        </is>
      </c>
      <c r="D27" s="27" t="n">
        <v>0.5</v>
      </c>
      <c r="E27" s="42" t="inlineStr">
        <is>
          <t>PTT propio del telefono: boton mantener-para-hablar en Operations, publicacion del microfono en caliente y anuncio ptt_on/ptt_off por el data stream (sin el, la voz sale y no la oye nadie porque el uid del telefono es aleatorio). Compila; sin probar en aparatos. DEVLOG y docs/bodycam-contexto.md actualizados</t>
        </is>
      </c>
      <c r="F27" s="63" t="inlineStr">
        <is>
          <t>sin commitear</t>
        </is>
      </c>
      <c r="G27" s="63" t="inlineStr">
        <is>
          <t>No</t>
        </is>
      </c>
      <c r="H27" s="63" t="inlineStr">
        <is>
          <t>Marcas de fichero 17:40-18:10</t>
        </is>
      </c>
    </row>
    <row r="28" ht="15.75" customHeight="1" s="72">
      <c r="A28" s="59" t="n"/>
      <c r="B28" s="62" t="n"/>
      <c r="C28" s="62" t="n"/>
      <c r="D28" s="27" t="n"/>
      <c r="E28" s="42" t="n"/>
      <c r="F28" s="63" t="n"/>
      <c r="G28" s="63" t="n"/>
      <c r="H28" s="63" t="n"/>
    </row>
    <row r="29" ht="15.75" customHeight="1" s="72">
      <c r="A29" s="8" t="n"/>
      <c r="B29" s="60" t="n"/>
      <c r="C29" s="60" t="n"/>
      <c r="D29" s="27" t="n"/>
      <c r="E29" s="61" t="n"/>
      <c r="F29" s="10" t="n"/>
      <c r="G29" s="10" t="n"/>
      <c r="H29" s="10" t="n"/>
    </row>
    <row r="30" ht="15.75" customHeight="1" s="72">
      <c r="A30" s="59" t="n"/>
      <c r="B30" s="62" t="n"/>
      <c r="C30" s="62" t="n"/>
      <c r="D30" s="27" t="n"/>
      <c r="E30" s="42" t="n"/>
      <c r="F30" s="63" t="n"/>
      <c r="G30" s="63" t="n"/>
      <c r="H30" s="63" t="n"/>
    </row>
    <row r="31" ht="15.75" customHeight="1" s="72">
      <c r="A31" s="8" t="n"/>
      <c r="B31" s="60" t="n"/>
      <c r="C31" s="60" t="n"/>
      <c r="D31" s="27" t="n"/>
      <c r="E31" s="61" t="n"/>
      <c r="F31" s="10" t="n"/>
      <c r="G31" s="10" t="n"/>
      <c r="H31" s="10" t="n"/>
    </row>
    <row r="32" ht="15.75" customHeight="1" s="72">
      <c r="A32" s="59" t="n"/>
      <c r="B32" s="62" t="n"/>
      <c r="C32" s="62" t="n"/>
      <c r="D32" s="27" t="n"/>
      <c r="E32" s="42" t="n"/>
      <c r="F32" s="63" t="n"/>
      <c r="G32" s="63" t="n"/>
      <c r="H32" s="63" t="n"/>
    </row>
    <row r="33" ht="15.75" customHeight="1" s="72">
      <c r="A33" s="8" t="n"/>
      <c r="B33" s="60" t="n"/>
      <c r="C33" s="60" t="n"/>
      <c r="D33" s="27" t="n"/>
      <c r="E33" s="61" t="n"/>
      <c r="F33" s="10" t="n"/>
      <c r="G33" s="10" t="n"/>
      <c r="H33" s="10" t="n"/>
    </row>
    <row r="34" ht="15.75" customHeight="1" s="72">
      <c r="A34" s="59" t="n"/>
      <c r="B34" s="62" t="n"/>
      <c r="C34" s="62" t="n"/>
      <c r="D34" s="27" t="n"/>
      <c r="E34" s="42" t="n"/>
      <c r="F34" s="63" t="n"/>
      <c r="G34" s="63" t="n"/>
      <c r="H34" s="63" t="n"/>
    </row>
    <row r="35" ht="15.75" customHeight="1" s="72">
      <c r="A35" s="8" t="n"/>
      <c r="B35" s="60" t="n"/>
      <c r="C35" s="60" t="n"/>
      <c r="D35" s="27" t="n"/>
      <c r="E35" s="61" t="n"/>
      <c r="F35" s="10" t="n"/>
      <c r="G35" s="10" t="n"/>
      <c r="H35" s="10" t="n"/>
    </row>
    <row r="36" ht="15.75" customHeight="1" s="72">
      <c r="A36" s="59" t="n"/>
      <c r="B36" s="62" t="n"/>
      <c r="C36" s="62" t="n"/>
      <c r="D36" s="27" t="n"/>
      <c r="E36" s="42" t="n"/>
      <c r="F36" s="63" t="n"/>
      <c r="G36" s="63" t="n"/>
      <c r="H36" s="63" t="n"/>
    </row>
    <row r="37" ht="15.75" customHeight="1" s="72">
      <c r="A37" s="8" t="n"/>
      <c r="B37" s="60" t="n"/>
      <c r="C37" s="60" t="n"/>
      <c r="D37" s="27" t="n"/>
      <c r="E37" s="61" t="n"/>
      <c r="F37" s="10" t="n"/>
      <c r="G37" s="10" t="n"/>
      <c r="H37" s="10" t="n"/>
    </row>
    <row r="38" ht="15.75" customHeight="1" s="72">
      <c r="A38" s="59" t="n"/>
      <c r="B38" s="62" t="n"/>
      <c r="C38" s="62" t="n"/>
      <c r="D38" s="27" t="n"/>
      <c r="E38" s="42" t="n"/>
      <c r="F38" s="63" t="n"/>
      <c r="G38" s="63" t="n"/>
      <c r="H38" s="63" t="n"/>
    </row>
    <row r="39" ht="15.75" customHeight="1" s="72">
      <c r="A39" s="8" t="n"/>
      <c r="B39" s="60" t="n"/>
      <c r="C39" s="60" t="n"/>
      <c r="D39" s="27" t="n"/>
      <c r="E39" s="61" t="n"/>
      <c r="F39" s="10" t="n"/>
      <c r="G39" s="10" t="n"/>
      <c r="H39" s="10" t="n"/>
    </row>
    <row r="40" ht="15.75" customHeight="1" s="72">
      <c r="A40" s="59" t="n"/>
      <c r="B40" s="62" t="n"/>
      <c r="C40" s="62" t="n"/>
      <c r="D40" s="27" t="n"/>
      <c r="E40" s="42" t="n"/>
      <c r="F40" s="63" t="n"/>
      <c r="G40" s="63" t="n"/>
      <c r="H40" s="63" t="n"/>
    </row>
    <row r="41" ht="15.75" customHeight="1" s="72">
      <c r="A41" s="8" t="n"/>
      <c r="B41" s="60" t="n"/>
      <c r="C41" s="60" t="n"/>
      <c r="D41" s="27" t="n"/>
      <c r="E41" s="61" t="n"/>
      <c r="F41" s="10" t="n"/>
      <c r="G41" s="10" t="n"/>
      <c r="H41" s="10" t="n"/>
    </row>
    <row r="42" ht="15.75" customHeight="1" s="72">
      <c r="A42" s="59" t="n"/>
      <c r="B42" s="62" t="n"/>
      <c r="C42" s="62" t="n"/>
      <c r="D42" s="27" t="n"/>
      <c r="E42" s="42" t="n"/>
      <c r="F42" s="63" t="n"/>
      <c r="G42" s="63" t="n"/>
      <c r="H42" s="63" t="n"/>
    </row>
    <row r="43" ht="15.75" customHeight="1" s="72">
      <c r="A43" s="8" t="n"/>
      <c r="B43" s="60" t="n"/>
      <c r="C43" s="60" t="n"/>
      <c r="D43" s="27" t="n"/>
      <c r="E43" s="61" t="n"/>
      <c r="F43" s="10" t="n"/>
      <c r="G43" s="10" t="n"/>
      <c r="H43" s="10" t="n"/>
    </row>
    <row r="44" ht="15.75" customHeight="1" s="72">
      <c r="A44" s="59" t="n"/>
      <c r="B44" s="62" t="n"/>
      <c r="C44" s="62" t="n"/>
      <c r="D44" s="27" t="n"/>
      <c r="E44" s="42" t="n"/>
      <c r="F44" s="63" t="n"/>
      <c r="G44" s="63" t="n"/>
      <c r="H44" s="63" t="n"/>
    </row>
    <row r="45" ht="15.75" customHeight="1" s="72">
      <c r="A45" s="8" t="n"/>
      <c r="B45" s="60" t="n"/>
      <c r="C45" s="60" t="n"/>
      <c r="D45" s="27" t="n"/>
      <c r="E45" s="61" t="n"/>
      <c r="F45" s="10" t="n"/>
      <c r="G45" s="10" t="n"/>
      <c r="H45" s="10" t="n"/>
    </row>
    <row r="46" ht="15.75" customHeight="1" s="72">
      <c r="A46" s="59" t="n"/>
      <c r="B46" s="62" t="n"/>
      <c r="C46" s="62" t="n"/>
      <c r="D46" s="27" t="n"/>
      <c r="E46" s="42" t="n"/>
      <c r="F46" s="63" t="n"/>
      <c r="G46" s="63" t="n"/>
      <c r="H46" s="63" t="n"/>
    </row>
    <row r="47" ht="15.75" customHeight="1" s="72"/>
    <row r="48" ht="15.75" customHeight="1" s="72">
      <c r="C48" s="67" t="inlineStr">
        <is>
          <t>TOTAL HORAS</t>
        </is>
      </c>
      <c r="D48" s="38">
        <f>SUM(D4:D46)</f>
        <v/>
      </c>
    </row>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2">
    <mergeCell ref="A2:H2"/>
    <mergeCell ref="A1:H1"/>
  </mergeCells>
  <dataValidations count="3">
    <dataValidation sqref="B4:B46" showDropDown="0" showInputMessage="0" showErrorMessage="0" allowBlank="1" type="list">
      <formula1>"BC,AN"</formula1>
    </dataValidation>
    <dataValidation sqref="G4:G46" showDropDown="0" showInputMessage="0" showErrorMessage="0" allowBlank="1" type="list">
      <formula1>"Sí,No"</formula1>
    </dataValidation>
    <dataValidation sqref="C4:C46" showDropDown="0" showInputMessage="0" showErrorMessage="0" allowBlank="1" type="list">
      <formula1>"BC-1,BC-2,BC-3,BC-4,AN-1,AN-2,ADM"</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J16"/>
  <sheetViews>
    <sheetView showGridLines="0" workbookViewId="0">
      <pane ySplit="3" topLeftCell="A4" activePane="bottomLeft" state="frozen"/>
      <selection pane="bottomLeft" activeCell="B5" sqref="B5"/>
    </sheetView>
  </sheetViews>
  <sheetFormatPr baseColWidth="8" defaultColWidth="14.43" defaultRowHeight="15" customHeight="1"/>
  <cols>
    <col width="9" customWidth="1" style="72" min="1" max="1"/>
    <col width="20" customWidth="1" style="72" min="2" max="2"/>
    <col width="30" customWidth="1" style="72" min="3" max="3"/>
    <col width="13" customWidth="1" style="72" min="4" max="4"/>
    <col width="22" customWidth="1" style="72" min="5" max="5"/>
    <col width="11" customWidth="1" style="72" min="6" max="6"/>
    <col width="12" customWidth="1" style="72" min="7" max="8"/>
    <col width="10" customWidth="1" style="72" min="9" max="9"/>
    <col width="14" customWidth="1" style="72" min="10" max="10"/>
    <col width="8.710000000000001" customWidth="1" style="72" min="11" max="26"/>
  </cols>
  <sheetData>
    <row r="1" ht="30" customHeight="1" s="72">
      <c r="A1" s="73" t="inlineStr">
        <is>
          <t xml:space="preserve">  BLOQUES DE TRABAJO — agrupados por aplicación</t>
        </is>
      </c>
    </row>
    <row r="3" ht="27.75" customHeight="1" s="72">
      <c r="A3" s="4" t="inlineStr">
        <is>
          <t>ID</t>
        </is>
      </c>
      <c r="B3" s="4" t="inlineStr">
        <is>
          <t>Aplicación</t>
        </is>
      </c>
      <c r="C3" s="4" t="inlineStr">
        <is>
          <t>Nombre</t>
        </is>
      </c>
      <c r="D3" s="4" t="inlineStr">
        <is>
          <t>Fecha</t>
        </is>
      </c>
      <c r="E3" s="4" t="inlineStr">
        <is>
          <t>Estado</t>
        </is>
      </c>
      <c r="F3" s="4" t="inlineStr">
        <is>
          <t>Archivos</t>
        </is>
      </c>
      <c r="G3" s="4" t="inlineStr">
        <is>
          <t>Líneas +</t>
        </is>
      </c>
      <c r="H3" s="4" t="inlineStr">
        <is>
          <t>Líneas −</t>
        </is>
      </c>
      <c r="I3" s="4" t="inlineStr">
        <is>
          <t>Horas</t>
        </is>
      </c>
      <c r="J3" s="4" t="inlineStr">
        <is>
          <t>Importe</t>
        </is>
      </c>
    </row>
    <row r="4">
      <c r="A4" s="9" t="inlineStr">
        <is>
          <t>BC-1</t>
        </is>
      </c>
      <c r="B4" s="10" t="inlineStr">
        <is>
          <t>BodyCamServer</t>
        </is>
      </c>
      <c r="C4" s="61" t="inlineStr">
        <is>
          <t>Grabación continua / EvidenceStore</t>
        </is>
      </c>
      <c r="D4" s="8" t="n">
        <v>46243</v>
      </c>
      <c r="E4" s="13" t="inlineStr">
        <is>
          <t>Al estandar bodycam (video unico con rotulo), validado en la unidad</t>
        </is>
      </c>
      <c r="F4" s="60" t="n">
        <v>12</v>
      </c>
      <c r="G4" s="15" t="n">
        <v>1027</v>
      </c>
      <c r="H4" s="15" t="n">
        <v>438</v>
      </c>
      <c r="I4" s="19">
        <f>SUMIF(Sesiones!$C:$C,A4,Sesiones!$D:$D)</f>
        <v/>
      </c>
      <c r="J4" s="22">
        <f>I4*Resumen!$C$9</f>
        <v/>
      </c>
    </row>
    <row r="5">
      <c r="A5" s="9" t="inlineStr">
        <is>
          <t>BC-2</t>
        </is>
      </c>
      <c r="B5" s="10" t="inlineStr">
        <is>
          <t>BodyCamServer</t>
        </is>
      </c>
      <c r="C5" s="61" t="inlineStr">
        <is>
          <t>Cifrado — medición</t>
        </is>
      </c>
      <c r="D5" s="8" t="n">
        <v>46248</v>
      </c>
      <c r="E5" s="23" t="inlineStr">
        <is>
          <t>Sin commitear (develop)</t>
        </is>
      </c>
      <c r="F5" s="60" t="n">
        <v>7</v>
      </c>
      <c r="G5" s="15" t="n">
        <v>2803</v>
      </c>
      <c r="H5" s="15" t="n">
        <v>0</v>
      </c>
      <c r="I5" s="19">
        <f>SUMIF(Sesiones!$C:$C,A5,Sesiones!$D:$D)</f>
        <v/>
      </c>
      <c r="J5" s="22">
        <f>I5*Resumen!$C$9</f>
        <v/>
      </c>
    </row>
    <row r="6">
      <c r="A6" s="9" t="inlineStr">
        <is>
          <t>BC-3</t>
        </is>
      </c>
      <c r="B6" s="10" t="inlineStr">
        <is>
          <t>BodyCamServer</t>
        </is>
      </c>
      <c r="C6" s="61" t="inlineStr">
        <is>
          <t>Pantalla en reposo + cronometro</t>
        </is>
      </c>
      <c r="D6" s="8" t="n">
        <v>46249</v>
      </c>
      <c r="E6" s="23" t="inlineStr">
        <is>
          <t>Sin commitear (develop)</t>
        </is>
      </c>
      <c r="F6" s="60" t="n">
        <v>1</v>
      </c>
      <c r="G6" s="15" t="n">
        <v>90</v>
      </c>
      <c r="H6" s="15" t="n">
        <v>0</v>
      </c>
      <c r="I6" s="19">
        <f>SUMIF(Sesiones!$C:$C,A6,Sesiones!$D:$D)</f>
        <v/>
      </c>
      <c r="J6" s="22">
        <f>I6*Resumen!$C$9</f>
        <v/>
      </c>
    </row>
    <row r="7">
      <c r="A7" s="9" t="inlineStr">
        <is>
          <t>ADM</t>
        </is>
      </c>
      <c r="B7" s="10" t="inlineStr">
        <is>
          <t>BodyCamServer</t>
        </is>
      </c>
      <c r="C7" s="61" t="inlineStr">
        <is>
          <t>Administracion (seguimiento de horas)</t>
        </is>
      </c>
      <c r="D7" s="8" t="n">
        <v>46249</v>
      </c>
      <c r="E7" s="13" t="inlineStr">
        <is>
          <t>Continuo</t>
        </is>
      </c>
      <c r="F7" s="30" t="n">
        <v>0</v>
      </c>
      <c r="G7" s="15" t="n">
        <v>0</v>
      </c>
      <c r="H7" s="15" t="n">
        <v>0</v>
      </c>
      <c r="I7" s="19">
        <f>SUMIF(Sesiones!$C:$C,A7,Sesiones!$D:$D)</f>
        <v/>
      </c>
      <c r="J7" s="22">
        <f>I7*Resumen!$C$9</f>
        <v/>
      </c>
    </row>
    <row r="8">
      <c r="A8" s="9" t="inlineStr">
        <is>
          <t>BC-4</t>
        </is>
      </c>
      <c r="B8" s="10" t="inlineStr">
        <is>
          <t>BodyCamServer</t>
        </is>
      </c>
      <c r="C8" s="61" t="inlineStr">
        <is>
          <t>Panel de control (UX + Compose)</t>
        </is>
      </c>
      <c r="D8" s="8" t="n">
        <v>46257</v>
      </c>
      <c r="E8" s="13" t="inlineStr">
        <is>
          <t>En develop (db04e55, a599da9)</t>
        </is>
      </c>
      <c r="F8" s="30" t="n">
        <v>16</v>
      </c>
      <c r="G8" s="15" t="n">
        <v>978</v>
      </c>
      <c r="H8" s="15" t="n">
        <v>329</v>
      </c>
      <c r="I8" s="19">
        <f>SUMIF(Sesiones!$C:$C,A8,Sesiones!$D:$D)</f>
        <v/>
      </c>
      <c r="J8" s="22">
        <f>I8*Resumen!$C$9</f>
        <v/>
      </c>
    </row>
    <row r="9">
      <c r="A9" s="9" t="inlineStr">
        <is>
          <t>BC-5</t>
        </is>
      </c>
      <c r="B9" s="10" t="inlineStr">
        <is>
          <t>BodyCamServer</t>
        </is>
      </c>
      <c r="C9" s="61" t="inlineStr">
        <is>
          <t>Cifrado y hash de la evidencia (implementacion)</t>
        </is>
      </c>
      <c r="D9" s="8" t="n">
        <v>46259</v>
      </c>
      <c r="E9" s="13" t="inlineStr">
        <is>
          <t>En develop (81f0995), validado en la unidad. Version 1.2 en codigo; la unidad corre el binario 1.1 (mismo codigo, compilado antes del salto)</t>
        </is>
      </c>
      <c r="F9" s="30" t="n">
        <v>6</v>
      </c>
      <c r="G9" s="15" t="n">
        <v>1060</v>
      </c>
      <c r="H9" s="15" t="n">
        <v>0</v>
      </c>
      <c r="I9" s="19">
        <f>SUMIF(Sesiones!$C:$C,A9,Sesiones!$D:$D)</f>
        <v/>
      </c>
      <c r="J9" s="22">
        <f>I9*Resumen!$C$9</f>
        <v/>
      </c>
    </row>
    <row r="10">
      <c r="A10" s="41" t="n"/>
      <c r="B10" s="41" t="n"/>
      <c r="C10" s="43" t="inlineStr">
        <is>
          <t>Subtotal BodyCamServer</t>
        </is>
      </c>
      <c r="D10" s="41" t="n"/>
      <c r="E10" s="41" t="n"/>
      <c r="F10" s="44">
        <f>SUM(F4:F9)</f>
        <v/>
      </c>
      <c r="G10" s="45">
        <f>SUM(G4:G9)</f>
        <v/>
      </c>
      <c r="H10" s="45">
        <f>SUM(H4:H9)</f>
        <v/>
      </c>
      <c r="I10" s="46">
        <f>SUM(I4:I9)</f>
        <v/>
      </c>
      <c r="J10" s="47">
        <f>SUM(J4:J9)</f>
        <v/>
      </c>
    </row>
    <row r="12">
      <c r="A12" s="9" t="inlineStr">
        <is>
          <t>AN-1</t>
        </is>
      </c>
      <c r="B12" s="10" t="inlineStr">
        <is>
          <t>AeriaNexusPrototype</t>
        </is>
      </c>
      <c r="C12" s="48" t="inlineStr">
        <is>
          <t>Cifrado y hash de la evidencia (port de FEVD v1)</t>
        </is>
      </c>
      <c r="D12" s="50" t="n">
        <v>46259</v>
      </c>
      <c r="E12" s="13" t="inlineStr">
        <is>
          <t>Sin commitear. Compila; sin validar en telefono</t>
        </is>
      </c>
      <c r="F12" s="30" t="n">
        <v>7</v>
      </c>
      <c r="G12" s="15" t="n">
        <v>799</v>
      </c>
      <c r="H12" s="15" t="n">
        <v>46</v>
      </c>
      <c r="I12" s="19">
        <f>SUMIF(Sesiones!$C:$C,A12,Sesiones!$D:$D)</f>
        <v/>
      </c>
      <c r="J12" s="22">
        <f>I12*Resumen!$C$9</f>
        <v/>
      </c>
    </row>
    <row r="14">
      <c r="A14" s="54" t="n"/>
      <c r="B14" s="54" t="n"/>
      <c r="C14" s="55" t="inlineStr">
        <is>
          <t>TOTAL PROYECTO</t>
        </is>
      </c>
      <c r="D14" s="54" t="n"/>
      <c r="E14" s="54" t="n"/>
      <c r="F14" s="58">
        <f>SUM(F4:F9)+F12</f>
        <v/>
      </c>
      <c r="G14" s="37">
        <f>SUM(G4:G9)+G12</f>
        <v/>
      </c>
      <c r="H14" s="37">
        <f>SUM(H4:H9)+H12</f>
        <v/>
      </c>
      <c r="I14" s="38">
        <f>SUM(I4:I9)+I12</f>
        <v/>
      </c>
      <c r="J14" s="39">
        <f>SUM(J4:J9)+J12</f>
        <v/>
      </c>
    </row>
    <row r="15"/>
    <row r="16">
      <c r="A16" s="6" t="inlineStr">
        <is>
          <t>Las columnas 'Horas' e 'Importe' se calculan solas a partir de la hoja Sesiones. No escribas en ellas.</t>
        </is>
      </c>
    </row>
    <row r="21" ht="15.75" customHeight="1" s="72"/>
    <row r="22" ht="15.75" customHeight="1" s="72"/>
    <row r="23" ht="15.75" customHeight="1" s="72"/>
    <row r="24" ht="15.75" customHeight="1" s="72"/>
    <row r="25" ht="15.75" customHeight="1" s="72"/>
    <row r="26" ht="15.75" customHeight="1" s="72"/>
    <row r="27" ht="15.75" customHeight="1" s="72"/>
    <row r="28" ht="15.75" customHeight="1" s="72"/>
    <row r="29" ht="15.75" customHeight="1" s="72"/>
    <row r="30" ht="15.75" customHeight="1" s="72"/>
    <row r="31" ht="15.75" customHeight="1" s="72"/>
    <row r="32" ht="15.75" customHeight="1" s="72"/>
    <row r="33" ht="15.75" customHeight="1" s="72"/>
    <row r="34" ht="15.75" customHeight="1" s="72"/>
    <row r="35" ht="15.75" customHeight="1" s="72"/>
    <row r="36" ht="15.75" customHeight="1" s="72"/>
    <row r="37" ht="15.75" customHeight="1" s="72"/>
    <row r="38" ht="15.75" customHeight="1" s="72"/>
    <row r="39" ht="15.75" customHeight="1" s="72"/>
    <row r="40" ht="15.75" customHeight="1" s="72"/>
    <row r="41" ht="15.75" customHeight="1" s="72"/>
    <row r="42" ht="15.75" customHeight="1" s="72"/>
    <row r="43" ht="15.75" customHeight="1" s="72"/>
    <row r="44" ht="15.75" customHeight="1" s="72"/>
    <row r="45" ht="15.75" customHeight="1" s="72"/>
    <row r="46" ht="15.75" customHeight="1" s="72"/>
    <row r="47" ht="15.75" customHeight="1" s="72"/>
    <row r="48" ht="15.75" customHeight="1" s="72"/>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2">
    <mergeCell ref="A1:J1"/>
    <mergeCell ref="A15:J15"/>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B5" sqref="B5"/>
    </sheetView>
  </sheetViews>
  <sheetFormatPr baseColWidth="8" defaultColWidth="14.43" defaultRowHeight="15" customHeight="1"/>
  <cols>
    <col width="5" customWidth="1" style="72" min="1" max="1"/>
    <col width="13" customWidth="1" style="72" min="2" max="2"/>
    <col width="20" customWidth="1" style="72" min="3" max="3"/>
    <col width="60" customWidth="1" style="72" min="4" max="4"/>
    <col width="13" customWidth="1" style="72" min="5" max="5"/>
    <col width="11" customWidth="1" style="72" min="6" max="6"/>
    <col width="14" customWidth="1" style="72" min="7" max="7"/>
    <col width="8.710000000000001" customWidth="1" style="72" min="8" max="26"/>
  </cols>
  <sheetData>
    <row r="1" ht="30" customHeight="1" s="72">
      <c r="A1" s="73" t="inlineStr">
        <is>
          <t xml:space="preserve">  ENTREGAS Y PAGOS</t>
        </is>
      </c>
    </row>
    <row r="3" ht="27.75" customHeight="1" s="72">
      <c r="A3" s="4" t="inlineStr">
        <is>
          <t>#</t>
        </is>
      </c>
      <c r="B3" s="4" t="inlineStr">
        <is>
          <t>Fecha</t>
        </is>
      </c>
      <c r="C3" s="4" t="inlineStr">
        <is>
          <t>Aplicación</t>
        </is>
      </c>
      <c r="D3" s="4" t="inlineStr">
        <is>
          <t>Contenido</t>
        </is>
      </c>
      <c r="E3" s="4" t="inlineStr">
        <is>
          <t>Commit</t>
        </is>
      </c>
      <c r="F3" s="4" t="inlineStr">
        <is>
          <t>Pagado</t>
        </is>
      </c>
      <c r="G3" s="4" t="inlineStr">
        <is>
          <t>Fecha de pago</t>
        </is>
      </c>
    </row>
    <row r="4" ht="30" customHeight="1" s="72">
      <c r="A4" s="60" t="n">
        <v>1</v>
      </c>
      <c r="B4" s="8" t="n">
        <v>46135</v>
      </c>
      <c r="C4" s="10" t="inlineStr">
        <is>
          <t>BodyCamServer</t>
        </is>
      </c>
      <c r="D4" s="61" t="inlineStr">
        <is>
          <t>Primera subida del servidor</t>
        </is>
      </c>
      <c r="E4" s="16" t="inlineStr">
        <is>
          <t>60448a3</t>
        </is>
      </c>
      <c r="F4" s="13" t="inlineStr">
        <is>
          <t>Sí</t>
        </is>
      </c>
      <c r="G4" s="8" t="n"/>
    </row>
    <row r="5" ht="30" customHeight="1" s="72">
      <c r="A5" s="60" t="n">
        <v>2</v>
      </c>
      <c r="B5" s="8" t="n">
        <v>46213</v>
      </c>
      <c r="C5" s="10" t="inlineStr">
        <is>
          <t>AeriaNexusPrototype</t>
        </is>
      </c>
      <c r="D5" s="61" t="inlineStr">
        <is>
          <t>Initial commit del prototipo cliente</t>
        </is>
      </c>
      <c r="E5" s="16" t="inlineStr">
        <is>
          <t>6bfbd55</t>
        </is>
      </c>
      <c r="F5" s="13" t="inlineStr">
        <is>
          <t>Sí</t>
        </is>
      </c>
      <c r="G5" s="8" t="n"/>
    </row>
    <row r="6" ht="30" customHeight="1" s="72">
      <c r="A6" s="60" t="n">
        <v>3</v>
      </c>
      <c r="B6" s="8" t="n">
        <v>46225</v>
      </c>
      <c r="C6" s="10" t="inlineStr">
        <is>
          <t>AeriaNexusPrototype</t>
        </is>
      </c>
      <c r="D6" s="61" t="inlineStr">
        <is>
          <t>Bloqueo de screenrecorder, incidencias locales, versionado automático de debug</t>
        </is>
      </c>
      <c r="E6" s="16" t="inlineStr">
        <is>
          <t>74cba54</t>
        </is>
      </c>
      <c r="F6" s="13" t="inlineStr">
        <is>
          <t>Sí</t>
        </is>
      </c>
      <c r="G6" s="8" t="n">
        <v>46227</v>
      </c>
    </row>
    <row r="7" ht="30" customHeight="1" s="72">
      <c r="A7" s="60" t="n">
        <v>4</v>
      </c>
      <c r="B7" s="8" t="n">
        <v>46243</v>
      </c>
      <c r="C7" s="10" t="inlineStr">
        <is>
          <t>BodyCamServer</t>
        </is>
      </c>
      <c r="D7" s="61" t="inlineStr">
        <is>
          <t>Grabación continua: EvidenceStore, buffer en anillo, pre-roll de 120 s</t>
        </is>
      </c>
      <c r="E7" s="16" t="inlineStr">
        <is>
          <t>d4a4709</t>
        </is>
      </c>
      <c r="F7" s="23" t="inlineStr">
        <is>
          <t>No</t>
        </is>
      </c>
      <c r="G7" s="8" t="n"/>
    </row>
    <row r="8">
      <c r="A8" s="10" t="n"/>
      <c r="B8" s="10" t="n"/>
      <c r="C8" s="10" t="n"/>
      <c r="D8" s="10" t="n"/>
      <c r="E8" s="10" t="n"/>
      <c r="F8" s="10" t="n"/>
      <c r="G8" s="10" t="n"/>
    </row>
    <row r="9">
      <c r="A9" s="10" t="n"/>
      <c r="B9" s="10" t="n"/>
      <c r="C9" s="10" t="n"/>
      <c r="D9" s="10" t="n"/>
      <c r="E9" s="10" t="n"/>
      <c r="F9" s="10" t="n"/>
      <c r="G9" s="10" t="n"/>
    </row>
    <row r="10">
      <c r="A10" s="10" t="n"/>
      <c r="B10" s="10" t="n"/>
      <c r="C10" s="10" t="n"/>
      <c r="D10" s="10" t="n"/>
      <c r="E10" s="10" t="n"/>
      <c r="F10" s="10" t="n"/>
      <c r="G10" s="10" t="n"/>
    </row>
    <row r="11">
      <c r="A11" s="10" t="n"/>
      <c r="B11" s="10" t="n"/>
      <c r="C11" s="10" t="n"/>
      <c r="D11" s="10" t="n"/>
      <c r="E11" s="10" t="n"/>
      <c r="F11" s="10" t="n"/>
      <c r="G11" s="10" t="n"/>
    </row>
    <row r="12">
      <c r="A12" s="10" t="n"/>
      <c r="B12" s="10" t="n"/>
      <c r="C12" s="10" t="n"/>
      <c r="D12" s="10" t="n"/>
      <c r="E12" s="10" t="n"/>
      <c r="F12" s="10" t="n"/>
      <c r="G12" s="10" t="n"/>
    </row>
    <row r="13">
      <c r="A13" s="10" t="n"/>
      <c r="B13" s="10" t="n"/>
      <c r="C13" s="10" t="n"/>
      <c r="D13" s="10" t="n"/>
      <c r="E13" s="10" t="n"/>
      <c r="F13" s="10" t="n"/>
      <c r="G13" s="10" t="n"/>
    </row>
    <row r="14">
      <c r="A14" s="10" t="n"/>
      <c r="B14" s="10" t="n"/>
      <c r="C14" s="10" t="n"/>
      <c r="D14" s="10" t="n"/>
      <c r="E14" s="10" t="n"/>
      <c r="F14" s="10" t="n"/>
      <c r="G14" s="10" t="n"/>
    </row>
    <row r="15">
      <c r="A15" s="10" t="n"/>
      <c r="B15" s="10" t="n"/>
      <c r="C15" s="10" t="n"/>
      <c r="D15" s="10" t="n"/>
      <c r="E15" s="10" t="n"/>
      <c r="F15" s="10" t="n"/>
      <c r="G15" s="10" t="n"/>
    </row>
    <row r="16">
      <c r="A16" s="10" t="n"/>
      <c r="B16" s="10" t="n"/>
      <c r="C16" s="10" t="n"/>
      <c r="D16" s="10" t="n"/>
      <c r="E16" s="10" t="n"/>
      <c r="F16" s="10" t="n"/>
      <c r="G16" s="10" t="n"/>
    </row>
    <row r="17">
      <c r="A17" s="10" t="n"/>
      <c r="B17" s="10" t="n"/>
      <c r="C17" s="10" t="n"/>
      <c r="D17" s="10" t="n"/>
      <c r="E17" s="10" t="n"/>
      <c r="F17" s="10" t="n"/>
      <c r="G17" s="10" t="n"/>
    </row>
    <row r="18">
      <c r="A18" s="10" t="n"/>
      <c r="B18" s="10" t="n"/>
      <c r="C18" s="10" t="n"/>
      <c r="D18" s="10" t="n"/>
      <c r="E18" s="10" t="n"/>
      <c r="F18" s="10" t="n"/>
      <c r="G18" s="10" t="n"/>
    </row>
    <row r="19">
      <c r="A19" s="10" t="n"/>
      <c r="B19" s="10" t="n"/>
      <c r="C19" s="10" t="n"/>
      <c r="D19" s="10" t="n"/>
      <c r="E19" s="10" t="n"/>
      <c r="F19" s="10" t="n"/>
      <c r="G19" s="10" t="n"/>
    </row>
    <row r="21" ht="15.75" customHeight="1" s="72"/>
    <row r="22" ht="27.75" customHeight="1" s="72">
      <c r="B22" s="40" t="inlineStr">
        <is>
          <t>El pago del 2026-07-24 cubre hasta la entrega #3. La #4 y el trabajo del 2026-08-14 (bloque BC-2, sin commitear) son posteriores — están pendientes de cobro.</t>
        </is>
      </c>
    </row>
    <row r="23" ht="15.75" customHeight="1" s="72"/>
    <row r="24" ht="15.75" customHeight="1" s="72"/>
    <row r="25" ht="15.75" customHeight="1" s="72"/>
    <row r="26" ht="15.75" customHeight="1" s="72"/>
    <row r="27" ht="15.75" customHeight="1" s="72"/>
    <row r="28" ht="15.75" customHeight="1" s="72"/>
    <row r="29" ht="15.75" customHeight="1" s="72"/>
    <row r="30" ht="15.75" customHeight="1" s="72"/>
    <row r="31" ht="15.75" customHeight="1" s="72"/>
    <row r="32" ht="15.75" customHeight="1" s="72"/>
    <row r="33" ht="15.75" customHeight="1" s="72"/>
    <row r="34" ht="15.75" customHeight="1" s="72"/>
    <row r="35" ht="15.75" customHeight="1" s="72"/>
    <row r="36" ht="15.75" customHeight="1" s="72"/>
    <row r="37" ht="15.75" customHeight="1" s="72"/>
    <row r="38" ht="15.75" customHeight="1" s="72"/>
    <row r="39" ht="15.75" customHeight="1" s="72"/>
    <row r="40" ht="15.75" customHeight="1" s="72"/>
    <row r="41" ht="15.75" customHeight="1" s="72"/>
    <row r="42" ht="15.75" customHeight="1" s="72"/>
    <row r="43" ht="15.75" customHeight="1" s="72"/>
    <row r="44" ht="15.75" customHeight="1" s="72"/>
    <row r="45" ht="15.75" customHeight="1" s="72"/>
    <row r="46" ht="15.75" customHeight="1" s="72"/>
    <row r="47" ht="15.75" customHeight="1" s="72"/>
    <row r="48" ht="15.75" customHeight="1" s="72"/>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2">
    <mergeCell ref="B22:G22"/>
    <mergeCell ref="A1:G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39"/>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72" min="1" max="1"/>
    <col width="20" customWidth="1" style="72" min="2" max="2"/>
    <col width="11" customWidth="1" style="72" min="3" max="3"/>
    <col width="62" customWidth="1" style="72" min="4" max="4"/>
    <col width="16" customWidth="1" style="72" min="5" max="5"/>
    <col width="8.710000000000001" customWidth="1" style="72" min="6" max="26"/>
  </cols>
  <sheetData>
    <row r="1" ht="30" customHeight="1" s="72">
      <c r="A1" s="73" t="inlineStr">
        <is>
          <t xml:space="preserve">  HISTORIAL DE COMMITS — ambas aplicaciones</t>
        </is>
      </c>
    </row>
    <row r="2">
      <c r="A2" s="6" t="inlineStr">
        <is>
          <t>Datos objetivos sacados de git. Las horas de estas fechas nunca se registraron.</t>
        </is>
      </c>
    </row>
    <row r="3" ht="27.75" customHeight="1" s="72">
      <c r="A3" s="4" t="inlineStr">
        <is>
          <t>Fecha</t>
        </is>
      </c>
      <c r="B3" s="4" t="inlineStr">
        <is>
          <t>Aplicación</t>
        </is>
      </c>
      <c r="C3" s="4" t="inlineStr">
        <is>
          <t>Commit</t>
        </is>
      </c>
      <c r="D3" s="4" t="inlineStr">
        <is>
          <t>Descripción</t>
        </is>
      </c>
      <c r="E3" s="4" t="inlineStr">
        <is>
          <t>Posterior al pago</t>
        </is>
      </c>
    </row>
    <row r="4">
      <c r="A4" s="8" t="n">
        <v>46257</v>
      </c>
      <c r="B4" s="10" t="inlineStr">
        <is>
          <t>BodyCamServer</t>
        </is>
      </c>
      <c r="C4" s="16" t="inlineStr">
        <is>
          <t>a25c0c7</t>
        </is>
      </c>
      <c r="D4" s="61" t="inlineStr">
        <is>
          <t>numeracion secuencial INC_000001 con contador auto-reparable</t>
        </is>
      </c>
      <c r="E4" s="23" t="inlineStr">
        <is>
          <t>Sí</t>
        </is>
      </c>
    </row>
    <row r="5">
      <c r="A5" s="8" t="n">
        <v>46257</v>
      </c>
      <c r="B5" s="10" t="inlineStr">
        <is>
          <t>BodyCamServer</t>
        </is>
      </c>
      <c r="C5" s="16" t="inlineStr">
        <is>
          <t>4373116</t>
        </is>
      </c>
      <c r="D5" s="61" t="inlineStr">
        <is>
          <t>rotulo del oficial quemado en los frames + .nomedia en el anillo</t>
        </is>
      </c>
      <c r="E5" s="23" t="inlineStr">
        <is>
          <t>Sí</t>
        </is>
      </c>
    </row>
    <row r="6">
      <c r="A6" s="8" t="n">
        <v>46257</v>
      </c>
      <c r="B6" s="10" t="inlineStr">
        <is>
          <t>BodyCamServer</t>
        </is>
      </c>
      <c r="C6" s="16" t="inlineStr">
        <is>
          <t>b00332f</t>
        </is>
      </c>
      <c r="D6" s="61" t="inlineStr">
        <is>
          <t>un incidente = un unico MP4, ensamblado sin recodificar</t>
        </is>
      </c>
      <c r="E6" s="23" t="inlineStr">
        <is>
          <t>Sí</t>
        </is>
      </c>
    </row>
    <row r="7">
      <c r="A7" s="8" t="n">
        <v>46257</v>
      </c>
      <c r="B7" s="10" t="inlineStr">
        <is>
          <t>BodyCamServer</t>
        </is>
      </c>
      <c r="C7" s="16" t="inlineStr">
        <is>
          <t>48892dd</t>
        </is>
      </c>
      <c r="D7" s="61" t="inlineStr">
        <is>
          <t>evidencia con nombre placa_fecha_hora al promoverse</t>
        </is>
      </c>
      <c r="E7" s="23" t="inlineStr">
        <is>
          <t>Sí</t>
        </is>
      </c>
    </row>
    <row r="8">
      <c r="A8" s="8" t="n">
        <v>46257</v>
      </c>
      <c r="B8" s="10" t="inlineStr">
        <is>
          <t>BodyCamServer</t>
        </is>
      </c>
      <c r="C8" s="16" t="inlineStr">
        <is>
          <t>671cab7</t>
        </is>
      </c>
      <c r="D8" s="61" t="inlineStr">
        <is>
          <t>identidad del oficial en overlay y manifest</t>
        </is>
      </c>
      <c r="E8" s="23" t="inlineStr">
        <is>
          <t>Sí</t>
        </is>
      </c>
    </row>
    <row r="9">
      <c r="A9" s="8" t="n">
        <v>46257</v>
      </c>
      <c r="B9" s="10" t="inlineStr">
        <is>
          <t>BodyCamServer</t>
        </is>
      </c>
      <c r="C9" s="16" t="inlineStr">
        <is>
          <t>16c498a</t>
        </is>
      </c>
      <c r="D9" s="61" t="inlineStr">
        <is>
          <t>arreglos (usuario)</t>
        </is>
      </c>
      <c r="E9" s="23" t="inlineStr">
        <is>
          <t>Sí</t>
        </is>
      </c>
    </row>
    <row r="10">
      <c r="A10" s="8" t="n">
        <v>46257</v>
      </c>
      <c r="B10" s="10" t="inlineStr">
        <is>
          <t>BodyCamServer</t>
        </is>
      </c>
      <c r="C10" s="16" t="inlineStr">
        <is>
          <t>f2e7e52</t>
        </is>
      </c>
      <c r="D10" s="61" t="inlineStr">
        <is>
          <t>armar al abrir la app - la pieza de 56d5478 que no llego al disco</t>
        </is>
      </c>
      <c r="E10" s="23" t="inlineStr">
        <is>
          <t>Sí</t>
        </is>
      </c>
    </row>
    <row r="11">
      <c r="A11" s="8" t="n">
        <v>46257</v>
      </c>
      <c r="B11" s="10" t="inlineStr">
        <is>
          <t>BodyCamServer</t>
        </is>
      </c>
      <c r="C11" s="16" t="inlineStr">
        <is>
          <t>99b42a6</t>
        </is>
      </c>
      <c r="D11" s="61" t="inlineStr">
        <is>
          <t>LED por estado real: el azul de buffer ya no se pisa con verde</t>
        </is>
      </c>
      <c r="E11" s="23" t="inlineStr">
        <is>
          <t>Sí</t>
        </is>
      </c>
    </row>
    <row r="12">
      <c r="A12" s="8" t="n">
        <v>46257</v>
      </c>
      <c r="B12" s="10" t="inlineStr">
        <is>
          <t>BodyCamServer</t>
        </is>
      </c>
      <c r="C12" s="16" t="inlineStr">
        <is>
          <t>2ecc7d5</t>
        </is>
      </c>
      <c r="D12" s="61" t="inlineStr">
        <is>
          <t>pre buffer integrado, led azul y armar al abrir la app (seguimiento)</t>
        </is>
      </c>
      <c r="E12" s="23" t="inlineStr">
        <is>
          <t>Sí</t>
        </is>
      </c>
    </row>
    <row r="13">
      <c r="A13" s="8" t="n">
        <v>46257</v>
      </c>
      <c r="B13" s="10" t="inlineStr">
        <is>
          <t>BodyCamServer</t>
        </is>
      </c>
      <c r="C13" s="16" t="inlineStr">
        <is>
          <t>56d5478</t>
        </is>
      </c>
      <c r="D13" s="61" t="inlineStr">
        <is>
          <t>buffer automatico al abrir, pre-roll de 20 s y LED azul en servicio</t>
        </is>
      </c>
      <c r="E13" s="23" t="inlineStr">
        <is>
          <t>Sí</t>
        </is>
      </c>
    </row>
    <row r="14">
      <c r="A14" s="8" t="n">
        <v>46257</v>
      </c>
      <c r="B14" s="10" t="inlineStr">
        <is>
          <t>BodyCamServer</t>
        </is>
      </c>
      <c r="C14" s="16" t="inlineStr">
        <is>
          <t>06008b2</t>
        </is>
      </c>
      <c r="D14" s="61" t="inlineStr">
        <is>
          <t>merge main: grabacion continua con pre-roll sobre la UI nueva de develop</t>
        </is>
      </c>
      <c r="E14" s="23" t="inlineStr">
        <is>
          <t>Sí</t>
        </is>
      </c>
    </row>
    <row r="15">
      <c r="A15" s="8" t="n">
        <v>46257</v>
      </c>
      <c r="B15" s="10" t="inlineStr">
        <is>
          <t>BodyCamServer</t>
        </is>
      </c>
      <c r="C15" s="16" t="inlineStr">
        <is>
          <t>a599da9</t>
        </is>
      </c>
      <c r="D15" s="61" t="inlineStr">
        <is>
          <t>botones en pantalla quitados, prebuffer mejorado, ux y enviar a servidor</t>
        </is>
      </c>
      <c r="E15" s="23" t="inlineStr">
        <is>
          <t>Sí</t>
        </is>
      </c>
    </row>
    <row r="16">
      <c r="A16" s="8" t="n">
        <v>46257</v>
      </c>
      <c r="B16" s="10" t="inlineStr">
        <is>
          <t>BodyCamServer</t>
        </is>
      </c>
      <c r="C16" s="16" t="inlineStr">
        <is>
          <t>db04e55</t>
        </is>
      </c>
      <c r="D16" s="61" t="inlineStr">
        <is>
          <t>botones de subir a server</t>
        </is>
      </c>
      <c r="E16" s="23" t="inlineStr">
        <is>
          <t>Sí</t>
        </is>
      </c>
    </row>
    <row r="17">
      <c r="A17" s="8" t="n">
        <v>46249</v>
      </c>
      <c r="B17" s="10" t="inlineStr">
        <is>
          <t>BodyCamServer</t>
        </is>
      </c>
      <c r="C17" s="16" t="inlineStr">
        <is>
          <t>420590e</t>
        </is>
      </c>
      <c r="D17" s="61" t="inlineStr">
        <is>
          <t>no segmentacion, pantalla cerrada al grabar, cronometro</t>
        </is>
      </c>
      <c r="E17" s="23" t="inlineStr">
        <is>
          <t>Sí</t>
        </is>
      </c>
    </row>
    <row r="18">
      <c r="A18" s="8" t="n">
        <v>46243</v>
      </c>
      <c r="B18" s="10" t="inlineStr">
        <is>
          <t>BodyCamServer</t>
        </is>
      </c>
      <c r="C18" s="16" t="inlineStr">
        <is>
          <t>d4a4709</t>
        </is>
      </c>
      <c r="D18" s="61" t="inlineStr">
        <is>
          <t>avance grabacion continua</t>
        </is>
      </c>
      <c r="E18" s="23" t="inlineStr">
        <is>
          <t>Sí</t>
        </is>
      </c>
    </row>
    <row r="19">
      <c r="A19" s="59" t="n">
        <v>46225</v>
      </c>
      <c r="B19" s="63" t="inlineStr">
        <is>
          <t>AeriaNexusPrototype</t>
        </is>
      </c>
      <c r="C19" s="35" t="inlineStr">
        <is>
          <t>74cba54</t>
        </is>
      </c>
      <c r="D19" s="42" t="inlineStr">
        <is>
          <t>quitado screenrecorder bloqueo</t>
        </is>
      </c>
      <c r="E19" s="62" t="inlineStr">
        <is>
          <t>—</t>
        </is>
      </c>
    </row>
    <row r="20">
      <c r="A20" s="8" t="n">
        <v>46223</v>
      </c>
      <c r="B20" s="10" t="inlineStr">
        <is>
          <t>AeriaNexusPrototype</t>
        </is>
      </c>
      <c r="C20" s="16" t="inlineStr">
        <is>
          <t>327f4a6</t>
        </is>
      </c>
      <c r="D20" s="61" t="inlineStr">
        <is>
          <t>ahora las versiones debug aumentan automaticamente</t>
        </is>
      </c>
      <c r="E20" s="60" t="inlineStr">
        <is>
          <t>—</t>
        </is>
      </c>
    </row>
    <row r="21" ht="15.75" customHeight="1" s="72">
      <c r="A21" s="59" t="n">
        <v>46223</v>
      </c>
      <c r="B21" s="63" t="inlineStr">
        <is>
          <t>AeriaNexusPrototype</t>
        </is>
      </c>
      <c r="C21" s="35" t="inlineStr">
        <is>
          <t>82adb88</t>
        </is>
      </c>
      <c r="D21" s="42" t="inlineStr">
        <is>
          <t>guardado local de incidencias</t>
        </is>
      </c>
      <c r="E21" s="62" t="inlineStr">
        <is>
          <t>—</t>
        </is>
      </c>
    </row>
    <row r="22" ht="15.75" customHeight="1" s="72">
      <c r="A22" s="8" t="n">
        <v>46218</v>
      </c>
      <c r="B22" s="10" t="inlineStr">
        <is>
          <t>AeriaNexusPrototype</t>
        </is>
      </c>
      <c r="C22" s="16" t="inlineStr">
        <is>
          <t>21c325e</t>
        </is>
      </c>
      <c r="D22" s="61" t="inlineStr">
        <is>
          <t>screenshot bloqueado, tooltip SOS, topbar no clickable, icono de mapa en SOS</t>
        </is>
      </c>
      <c r="E22" s="60" t="inlineStr">
        <is>
          <t>—</t>
        </is>
      </c>
    </row>
    <row r="23" ht="15.75" customHeight="1" s="72">
      <c r="A23" s="59" t="n">
        <v>46215</v>
      </c>
      <c r="B23" s="63" t="inlineStr">
        <is>
          <t>BodyCamServer</t>
        </is>
      </c>
      <c r="C23" s="35" t="inlineStr">
        <is>
          <t>98cea82</t>
        </is>
      </c>
      <c r="D23" s="42" t="inlineStr">
        <is>
          <t>gitignore</t>
        </is>
      </c>
      <c r="E23" s="62" t="inlineStr">
        <is>
          <t>—</t>
        </is>
      </c>
    </row>
    <row r="24" ht="15.75" customHeight="1" s="72">
      <c r="A24" s="8" t="n">
        <v>46215</v>
      </c>
      <c r="B24" s="10" t="inlineStr">
        <is>
          <t>BodyCamServer</t>
        </is>
      </c>
      <c r="C24" s="16" t="inlineStr">
        <is>
          <t>116a4c7</t>
        </is>
      </c>
      <c r="D24" s="61" t="inlineStr">
        <is>
          <t>arreglos de grabacion desde telefono</t>
        </is>
      </c>
      <c r="E24" s="60" t="inlineStr">
        <is>
          <t>—</t>
        </is>
      </c>
    </row>
    <row r="25" ht="15.75" customHeight="1" s="72">
      <c r="A25" s="59" t="n">
        <v>46215</v>
      </c>
      <c r="B25" s="75" t="n"/>
      <c r="C25" s="75" t="n"/>
      <c r="D25" s="75" t="n"/>
      <c r="E25" s="76" t="n"/>
    </row>
    <row r="26" ht="15.75" customHeight="1" s="72">
      <c r="A26" s="8" t="n">
        <v>46215</v>
      </c>
      <c r="B26" s="10" t="inlineStr">
        <is>
          <t>BodyCamServer</t>
        </is>
      </c>
      <c r="C26" s="16" t="inlineStr">
        <is>
          <t>b69cc42</t>
        </is>
      </c>
      <c r="D26" s="61" t="inlineStr">
        <is>
          <t>bluetooth arreglado y funcionalidad de camara</t>
        </is>
      </c>
      <c r="E26" s="60" t="inlineStr">
        <is>
          <t>—</t>
        </is>
      </c>
    </row>
    <row r="27" ht="15.75" customHeight="1" s="72">
      <c r="A27" s="59" t="n">
        <v>46215</v>
      </c>
      <c r="B27" s="63" t="inlineStr">
        <is>
          <t>AeriaNexusPrototype</t>
        </is>
      </c>
      <c r="C27" s="35" t="inlineStr">
        <is>
          <t>a772f1c</t>
        </is>
      </c>
      <c r="D27" s="42" t="inlineStr">
        <is>
          <t>foto controlador desde el movil SOS, tooltip</t>
        </is>
      </c>
      <c r="E27" s="62" t="inlineStr">
        <is>
          <t>—</t>
        </is>
      </c>
    </row>
    <row r="28" ht="15.75" customHeight="1" s="72">
      <c r="A28" s="8" t="n">
        <v>46213</v>
      </c>
      <c r="B28" s="10" t="inlineStr">
        <is>
          <t>AeriaNexusPrototype</t>
        </is>
      </c>
      <c r="C28" s="16" t="inlineStr">
        <is>
          <t>6bfbd55</t>
        </is>
      </c>
      <c r="D28" s="61" t="inlineStr">
        <is>
          <t>Initial commit</t>
        </is>
      </c>
      <c r="E28" s="60" t="inlineStr">
        <is>
          <t>—</t>
        </is>
      </c>
    </row>
    <row r="29" ht="15.75" customHeight="1" s="72">
      <c r="A29" s="59" t="n">
        <v>46213</v>
      </c>
      <c r="B29" s="63" t="inlineStr">
        <is>
          <t>BodyCamServer</t>
        </is>
      </c>
      <c r="C29" s="35" t="inlineStr">
        <is>
          <t>d8a50e8</t>
        </is>
      </c>
      <c r="D29" s="42" t="inlineStr">
        <is>
          <t>arreglado bug de bluetooth</t>
        </is>
      </c>
      <c r="E29" s="62" t="inlineStr">
        <is>
          <t>—</t>
        </is>
      </c>
    </row>
    <row r="30" ht="15.75" customHeight="1" s="72">
      <c r="A30" s="8" t="n">
        <v>46190</v>
      </c>
      <c r="B30" s="10" t="inlineStr">
        <is>
          <t>BodyCamServer</t>
        </is>
      </c>
      <c r="C30" s="16" t="inlineStr">
        <is>
          <t>560756c</t>
        </is>
      </c>
      <c r="D30" s="61" t="inlineStr">
        <is>
          <t>arreglo luces e icono</t>
        </is>
      </c>
      <c r="E30" s="60" t="inlineStr">
        <is>
          <t>—</t>
        </is>
      </c>
    </row>
    <row r="31" ht="15.75" customHeight="1" s="72">
      <c r="A31" s="59" t="n">
        <v>46189</v>
      </c>
      <c r="B31" s="69" t="n"/>
      <c r="C31" s="69" t="n"/>
      <c r="D31" s="69" t="n"/>
      <c r="E31" s="70" t="n"/>
    </row>
    <row r="32" ht="15.75" customHeight="1" s="72">
      <c r="A32" s="8" t="n">
        <v>46177</v>
      </c>
      <c r="B32" s="10" t="inlineStr">
        <is>
          <t>BodyCamServer</t>
        </is>
      </c>
      <c r="C32" s="16" t="inlineStr">
        <is>
          <t>cf69bcd</t>
        </is>
      </c>
      <c r="D32" s="61" t="inlineStr">
        <is>
          <t>avanzada y arreglada</t>
        </is>
      </c>
      <c r="E32" s="60" t="inlineStr">
        <is>
          <t>—</t>
        </is>
      </c>
    </row>
    <row r="33" ht="15.75" customHeight="1" s="72">
      <c r="A33" s="59" t="n">
        <v>46175</v>
      </c>
      <c r="B33" s="63" t="inlineStr">
        <is>
          <t>BodyCamServer</t>
        </is>
      </c>
      <c r="C33" s="35" t="inlineStr">
        <is>
          <t>16f3d49</t>
        </is>
      </c>
      <c r="D33" s="42" t="inlineStr">
        <is>
          <t>arreglo blue y botones</t>
        </is>
      </c>
      <c r="E33" s="62" t="inlineStr">
        <is>
          <t>—</t>
        </is>
      </c>
    </row>
    <row r="34" ht="15.75" customHeight="1" s="72">
      <c r="A34" s="8" t="n">
        <v>46139</v>
      </c>
      <c r="B34" s="10" t="inlineStr">
        <is>
          <t>BodyCamServer</t>
        </is>
      </c>
      <c r="C34" s="16" t="inlineStr">
        <is>
          <t>eb63e85</t>
        </is>
      </c>
      <c r="D34" s="61" t="inlineStr">
        <is>
          <t>muy funcional, falta layout de pantalla de estado</t>
        </is>
      </c>
      <c r="E34" s="60" t="inlineStr">
        <is>
          <t>—</t>
        </is>
      </c>
    </row>
    <row r="35" ht="15.75" customHeight="1" s="72">
      <c r="A35" s="59" t="n">
        <v>46137</v>
      </c>
      <c r="B35" s="63" t="inlineStr">
        <is>
          <t>BodyCamServer</t>
        </is>
      </c>
      <c r="C35" s="35" t="inlineStr">
        <is>
          <t>4797b0a</t>
        </is>
      </c>
      <c r="D35" s="42" t="inlineStr">
        <is>
          <t>arreglo server</t>
        </is>
      </c>
      <c r="E35" s="62" t="inlineStr">
        <is>
          <t>—</t>
        </is>
      </c>
    </row>
    <row r="36" ht="15.75" customHeight="1" s="72">
      <c r="A36" s="8" t="n">
        <v>46135</v>
      </c>
      <c r="B36" s="10" t="inlineStr">
        <is>
          <t>BodyCamServer</t>
        </is>
      </c>
      <c r="C36" s="16" t="inlineStr">
        <is>
          <t>c99cd77</t>
        </is>
      </c>
      <c r="D36" s="61" t="inlineStr">
        <is>
          <t>new upload</t>
        </is>
      </c>
      <c r="E36" s="60" t="inlineStr">
        <is>
          <t>—</t>
        </is>
      </c>
    </row>
    <row r="37" ht="15.75" customHeight="1" s="72">
      <c r="A37" s="59" t="n">
        <v>46135</v>
      </c>
      <c r="B37" s="63" t="inlineStr">
        <is>
          <t>BodyCamServer</t>
        </is>
      </c>
      <c r="C37" s="35" t="inlineStr">
        <is>
          <t>60448a3</t>
        </is>
      </c>
      <c r="D37" s="42" t="inlineStr">
        <is>
          <t>first commit</t>
        </is>
      </c>
      <c r="E37" s="62" t="inlineStr">
        <is>
          <t>—</t>
        </is>
      </c>
    </row>
    <row r="38" ht="15.75" customHeight="1" s="72"/>
    <row r="39" ht="15.75" customHeight="1" s="72">
      <c r="A39" s="71" t="inlineStr">
        <is>
          <t>Total: 20 commits · 13 días naturales con actividad (BodyCamServer 10 · AeriaNexus 5 · 2 días compartidos)</t>
        </is>
      </c>
    </row>
    <row r="40" ht="15.75" customHeight="1" s="72"/>
    <row r="41" ht="15.75" customHeight="1" s="72"/>
    <row r="42" ht="15.75" customHeight="1" s="72"/>
    <row r="43" ht="15.75" customHeight="1" s="72"/>
    <row r="44" ht="15.75" customHeight="1" s="72"/>
    <row r="45" ht="15.75" customHeight="1" s="72"/>
    <row r="46" ht="15.75" customHeight="1" s="72"/>
    <row r="47" ht="15.75" customHeight="1" s="72"/>
    <row r="48" ht="15.75" customHeight="1" s="72"/>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3">
    <mergeCell ref="A2:E2"/>
    <mergeCell ref="A1:E1"/>
    <mergeCell ref="A25:E25"/>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D19"/>
  <sheetViews>
    <sheetView showGridLines="0" workbookViewId="0">
      <pane ySplit="3" topLeftCell="A4" activePane="bottomLeft" state="frozen"/>
      <selection pane="bottomLeft" activeCell="B5" sqref="B5"/>
    </sheetView>
  </sheetViews>
  <sheetFormatPr baseColWidth="8" defaultColWidth="14.43" defaultRowHeight="15" customHeight="1"/>
  <cols>
    <col width="9" customWidth="1" style="72" min="1" max="1"/>
    <col width="30" customWidth="1" style="72" min="2" max="2"/>
    <col width="11" customWidth="1" style="72" min="3" max="3"/>
    <col width="70" customWidth="1" style="72" min="4" max="4"/>
    <col width="8.710000000000001" customWidth="1" style="72" min="5" max="26"/>
  </cols>
  <sheetData>
    <row r="1" ht="30" customHeight="1" s="72">
      <c r="A1" s="73" t="inlineStr">
        <is>
          <t xml:space="preserve">  DETALLE DE ARCHIVOS POR BLOQUE</t>
        </is>
      </c>
    </row>
    <row r="3" ht="27.75" customHeight="1" s="72">
      <c r="A3" s="4" t="inlineStr">
        <is>
          <t>Bloque</t>
        </is>
      </c>
      <c r="B3" s="4" t="inlineStr">
        <is>
          <t>Archivo</t>
        </is>
      </c>
      <c r="C3" s="4" t="inlineStr">
        <is>
          <t>Líneas</t>
        </is>
      </c>
      <c r="D3" s="4" t="inlineStr">
        <is>
          <t>Qué es</t>
        </is>
      </c>
    </row>
    <row r="4" ht="30" customHeight="1" s="72">
      <c r="A4" s="64" t="inlineStr">
        <is>
          <t>BC-1</t>
        </is>
      </c>
      <c r="B4" s="65" t="inlineStr">
        <is>
          <t>EvidenceStore.kt</t>
        </is>
      </c>
      <c r="C4" s="60" t="inlineStr">
        <is>
          <t>+290 nuevo</t>
        </is>
      </c>
      <c r="D4" s="61" t="inlineStr">
        <is>
          <t>Pieza central: buffer en anillo, pre-roll de 120 s, segmentos de 8 MB, promoción de incidentes por renameTo() sin copiar bytes</t>
        </is>
      </c>
    </row>
    <row r="5" ht="30" customHeight="1" s="72">
      <c r="A5" s="64" t="inlineStr">
        <is>
          <t>BC-1</t>
        </is>
      </c>
      <c r="B5" s="65" t="inlineStr">
        <is>
          <t>RecordingActivity.kt</t>
        </is>
      </c>
      <c r="C5" s="60" t="inlineStr">
        <is>
          <t>+485</t>
        </is>
      </c>
      <c r="D5" s="61" t="inlineStr">
        <is>
          <t>Reescritura para grabación continua</t>
        </is>
      </c>
    </row>
    <row r="6" ht="30" customHeight="1" s="72">
      <c r="A6" s="64" t="inlineStr">
        <is>
          <t>BC-1</t>
        </is>
      </c>
      <c r="B6" s="65" t="inlineStr">
        <is>
          <t>CameraController.kt</t>
        </is>
      </c>
      <c r="C6" s="60" t="inlineStr">
        <is>
          <t>−257 borrado</t>
        </is>
      </c>
      <c r="D6" s="61" t="inlineStr">
        <is>
          <t>Sustituido por el nuevo modelo</t>
        </is>
      </c>
    </row>
    <row r="7" ht="18" customHeight="1" s="72">
      <c r="A7" s="64" t="inlineStr">
        <is>
          <t>BC-1</t>
        </is>
      </c>
      <c r="B7" s="65" t="inlineStr">
        <is>
          <t>FileServerService.kt</t>
        </is>
      </c>
      <c r="C7" s="60" t="inlineStr">
        <is>
          <t>+145</t>
        </is>
      </c>
      <c r="D7" s="61" t="n"/>
    </row>
    <row r="8" ht="18" customHeight="1" s="72">
      <c r="A8" s="64" t="inlineStr">
        <is>
          <t>BC-1</t>
        </is>
      </c>
      <c r="B8" s="65" t="inlineStr">
        <is>
          <t>UploadService.kt</t>
        </is>
      </c>
      <c r="C8" s="60" t="inlineStr">
        <is>
          <t>+106</t>
        </is>
      </c>
      <c r="D8" s="61" t="n"/>
    </row>
    <row r="9" ht="18" customHeight="1" s="72">
      <c r="A9" s="64" t="inlineStr">
        <is>
          <t>BC-1</t>
        </is>
      </c>
      <c r="B9" s="65" t="inlineStr">
        <is>
          <t>MainActivity.kt</t>
        </is>
      </c>
      <c r="C9" s="60" t="inlineStr">
        <is>
          <t>+74</t>
        </is>
      </c>
      <c r="D9" s="61" t="n"/>
    </row>
    <row r="10" ht="18" customHeight="1" s="72">
      <c r="A10" s="64" t="inlineStr">
        <is>
          <t>BC-1</t>
        </is>
      </c>
      <c r="B10" s="65" t="inlineStr">
        <is>
          <t>LivestreamService.kt</t>
        </is>
      </c>
      <c r="C10" s="60" t="inlineStr">
        <is>
          <t>+48</t>
        </is>
      </c>
      <c r="D10" s="61" t="n"/>
    </row>
    <row r="11" ht="18" customHeight="1" s="72">
      <c r="A11" s="64" t="inlineStr">
        <is>
          <t>BC-1</t>
        </is>
      </c>
      <c r="B11" s="65" t="inlineStr">
        <is>
          <t>BtServerService.kt</t>
        </is>
      </c>
      <c r="C11" s="60" t="inlineStr">
        <is>
          <t>+38</t>
        </is>
      </c>
      <c r="D11" s="61" t="n"/>
    </row>
    <row r="12" ht="30" customHeight="1" s="72">
      <c r="A12" s="64" t="inlineStr">
        <is>
          <t>BC-1</t>
        </is>
      </c>
      <c r="B12" s="65" t="inlineStr">
        <is>
          <t>Protocol / Preview / Torch / Photo</t>
        </is>
      </c>
      <c r="C12" s="60" t="inlineStr">
        <is>
          <t>+22</t>
        </is>
      </c>
      <c r="D12" s="61" t="inlineStr">
        <is>
          <t>Ajustes menores</t>
        </is>
      </c>
    </row>
    <row r="13" ht="30" customHeight="1" s="72">
      <c r="A13" s="66" t="inlineStr">
        <is>
          <t>BC-2</t>
        </is>
      </c>
      <c r="B13" s="65" t="inlineStr">
        <is>
          <t>aes-256Sha256.py</t>
        </is>
      </c>
      <c r="C13" s="60" t="inlineStr">
        <is>
          <t>1280 nuevo</t>
        </is>
      </c>
      <c r="D13" s="61" t="inlineStr">
        <is>
          <t>Herramienta de cifrado AES-256 / SHA-256</t>
        </is>
      </c>
    </row>
    <row r="14" ht="30" customHeight="1" s="72">
      <c r="A14" s="66" t="inlineStr">
        <is>
          <t>BC-2</t>
        </is>
      </c>
      <c r="B14" s="65" t="inlineStr">
        <is>
          <t>SampleMP4-Generator.py</t>
        </is>
      </c>
      <c r="C14" s="60" t="inlineStr">
        <is>
          <t>1086 nuevo</t>
        </is>
      </c>
      <c r="D14" s="61" t="inlineStr">
        <is>
          <t>Generador de MP4 de prueba</t>
        </is>
      </c>
    </row>
    <row r="15" ht="30" customHeight="1" s="72">
      <c r="A15" s="66" t="inlineStr">
        <is>
          <t>BC-2</t>
        </is>
      </c>
      <c r="B15" s="65" t="inlineStr">
        <is>
          <t>CryptoBenchmark.kt</t>
        </is>
      </c>
      <c r="C15" s="60" t="inlineStr">
        <is>
          <t>230 nuevo</t>
        </is>
      </c>
      <c r="D15" s="61" t="inlineStr">
        <is>
          <t>Coste real de hashear y cifrar en la unidad. Cifra por bloques porque Conscrypt acumula todo en Cipher.update() y revienta con OOM al pedirle 256 MB de una vez</t>
        </is>
      </c>
    </row>
    <row r="16" ht="30" customHeight="1" s="72">
      <c r="A16" s="66" t="inlineStr">
        <is>
          <t>BC-2</t>
        </is>
      </c>
      <c r="B16" s="65" t="inlineStr">
        <is>
          <t>RecorderWatch.kt</t>
        </is>
      </c>
      <c r="C16" s="60" t="inlineStr">
        <is>
          <t>134 nuevo</t>
        </is>
      </c>
      <c r="D16" s="61" t="inlineStr">
        <is>
          <t>Watchdog de grabaciones largas: detecta la parada silenciosa (encoder muerto sin callback) midiendo si el fichero deja de crecer</t>
        </is>
      </c>
    </row>
    <row r="17" ht="30" customHeight="1" s="72">
      <c r="A17" s="66" t="inlineStr">
        <is>
          <t>BC-2</t>
        </is>
      </c>
      <c r="B17" s="65" t="inlineStr">
        <is>
          <t>FileServerService.kt</t>
        </is>
      </c>
      <c r="C17" s="60" t="inlineStr">
        <is>
          <t>+48</t>
        </is>
      </c>
      <c r="D17" s="61" t="inlineStr">
        <is>
          <t>Endpoint GET /benchmark y resolve() que corta el path traversal por ../</t>
        </is>
      </c>
    </row>
    <row r="18" ht="30" customHeight="1" s="72">
      <c r="A18" s="66" t="inlineStr">
        <is>
          <t>BC-2</t>
        </is>
      </c>
      <c r="B18" s="65" t="inlineStr">
        <is>
          <t>CameraController.kt</t>
        </is>
      </c>
      <c r="C18" s="60" t="inlineStr">
        <is>
          <t>+13</t>
        </is>
      </c>
      <c r="D18" s="61" t="inlineStr">
        <is>
          <t>Enganche del watch — ⚠ este archivo ya no existe en main</t>
        </is>
      </c>
    </row>
    <row r="19" ht="30" customHeight="1" s="72">
      <c r="A19" s="66" t="inlineStr">
        <is>
          <t>BC-2</t>
        </is>
      </c>
      <c r="B19" s="65" t="inlineStr">
        <is>
          <t>RecordingActivity.kt</t>
        </is>
      </c>
      <c r="C19" s="60" t="inlineStr">
        <is>
          <t>+12</t>
        </is>
      </c>
      <c r="D19" s="61" t="inlineStr">
        <is>
          <t>Enganche del watch</t>
        </is>
      </c>
    </row>
    <row r="21" ht="15.75" customHeight="1" s="72"/>
    <row r="22" ht="15.75" customHeight="1" s="72"/>
    <row r="23" ht="15.75" customHeight="1" s="72"/>
    <row r="24" ht="15.75" customHeight="1" s="72"/>
    <row r="25" ht="15.75" customHeight="1" s="72"/>
    <row r="26" ht="15.75" customHeight="1" s="72"/>
    <row r="27" ht="15.75" customHeight="1" s="72"/>
    <row r="28" ht="15.75" customHeight="1" s="72"/>
    <row r="29" ht="15.75" customHeight="1" s="72"/>
    <row r="30" ht="15.75" customHeight="1" s="72"/>
    <row r="31" ht="15.75" customHeight="1" s="72"/>
    <row r="32" ht="15.75" customHeight="1" s="72"/>
    <row r="33" ht="15.75" customHeight="1" s="72"/>
    <row r="34" ht="15.75" customHeight="1" s="72"/>
    <row r="35" ht="15.75" customHeight="1" s="72"/>
    <row r="36" ht="15.75" customHeight="1" s="72"/>
    <row r="37" ht="15.75" customHeight="1" s="72"/>
    <row r="38" ht="15.75" customHeight="1" s="72"/>
    <row r="39" ht="15.75" customHeight="1" s="72"/>
    <row r="40" ht="15.75" customHeight="1" s="72"/>
    <row r="41" ht="15.75" customHeight="1" s="72"/>
    <row r="42" ht="15.75" customHeight="1" s="72"/>
    <row r="43" ht="15.75" customHeight="1" s="72"/>
    <row r="44" ht="15.75" customHeight="1" s="72"/>
    <row r="45" ht="15.75" customHeight="1" s="72"/>
    <row r="46" ht="15.75" customHeight="1" s="72"/>
    <row r="47" ht="15.75" customHeight="1" s="72"/>
    <row r="48" ht="15.75" customHeight="1" s="72"/>
    <row r="49" ht="15.75" customHeight="1" s="72"/>
    <row r="50" ht="15.75" customHeight="1" s="72"/>
    <row r="51" ht="15.75" customHeight="1" s="72"/>
    <row r="52" ht="15.75" customHeight="1" s="72"/>
    <row r="53" ht="15.75" customHeight="1" s="72"/>
    <row r="54" ht="15.75" customHeight="1" s="72"/>
    <row r="55" ht="15.75" customHeight="1" s="72"/>
    <row r="56" ht="15.75" customHeight="1" s="72"/>
    <row r="57" ht="15.75" customHeight="1" s="72"/>
    <row r="58" ht="15.75" customHeight="1" s="72"/>
    <row r="59" ht="15.75" customHeight="1" s="72"/>
    <row r="60" ht="15.75" customHeight="1" s="72"/>
    <row r="61" ht="15.75" customHeight="1" s="72"/>
    <row r="62" ht="15.75" customHeight="1" s="72"/>
    <row r="63" ht="15.75" customHeight="1" s="72"/>
    <row r="64" ht="15.75" customHeight="1" s="72"/>
    <row r="65" ht="15.75" customHeight="1" s="72"/>
    <row r="66" ht="15.75" customHeight="1" s="72"/>
    <row r="67" ht="15.75" customHeight="1" s="72"/>
    <row r="68" ht="15.75" customHeight="1" s="72"/>
    <row r="69" ht="15.75" customHeight="1" s="72"/>
    <row r="70" ht="15.75" customHeight="1" s="72"/>
    <row r="71" ht="15.75" customHeight="1" s="72"/>
    <row r="72" ht="15.75" customHeight="1" s="72"/>
    <row r="73" ht="15.75" customHeight="1" s="72"/>
    <row r="74" ht="15.75" customHeight="1" s="72"/>
    <row r="75" ht="15.75" customHeight="1" s="72"/>
    <row r="76" ht="15.75" customHeight="1" s="72"/>
    <row r="77" ht="15.75" customHeight="1" s="72"/>
    <row r="78" ht="15.75" customHeight="1" s="72"/>
    <row r="79" ht="15.75" customHeight="1" s="72"/>
    <row r="80" ht="15.75" customHeight="1" s="72"/>
    <row r="81" ht="15.75" customHeight="1" s="72"/>
    <row r="82" ht="15.75" customHeight="1" s="72"/>
    <row r="83" ht="15.75" customHeight="1" s="72"/>
    <row r="84" ht="15.75" customHeight="1" s="72"/>
    <row r="85" ht="15.75" customHeight="1" s="72"/>
    <row r="86" ht="15.75" customHeight="1" s="72"/>
    <row r="87" ht="15.75" customHeight="1" s="72"/>
    <row r="88" ht="15.75" customHeight="1" s="72"/>
    <row r="89" ht="15.75" customHeight="1" s="72"/>
    <row r="90" ht="15.75" customHeight="1" s="72"/>
    <row r="91" ht="15.75" customHeight="1" s="72"/>
    <row r="92" ht="15.75" customHeight="1" s="72"/>
    <row r="93" ht="15.75" customHeight="1" s="72"/>
    <row r="94" ht="15.75" customHeight="1" s="72"/>
    <row r="95" ht="15.75" customHeight="1" s="72"/>
    <row r="96" ht="15.75" customHeight="1" s="72"/>
    <row r="97" ht="15.75" customHeight="1" s="72"/>
    <row r="98" ht="15.75" customHeight="1" s="72"/>
    <row r="99" ht="15.75" customHeight="1" s="72"/>
    <row r="100" ht="15.75" customHeight="1" s="72"/>
    <row r="101" ht="15.75" customHeight="1" s="72"/>
    <row r="102" ht="15.75" customHeight="1" s="72"/>
    <row r="103" ht="15.75" customHeight="1" s="72"/>
    <row r="104" ht="15.75" customHeight="1" s="72"/>
    <row r="105" ht="15.75" customHeight="1" s="72"/>
    <row r="106" ht="15.75" customHeight="1" s="72"/>
    <row r="107" ht="15.75" customHeight="1" s="72"/>
    <row r="108" ht="15.75" customHeight="1" s="72"/>
    <row r="109" ht="15.75" customHeight="1" s="72"/>
    <row r="110" ht="15.75" customHeight="1" s="72"/>
    <row r="111" ht="15.75" customHeight="1" s="72"/>
    <row r="112" ht="15.75" customHeight="1" s="72"/>
    <row r="113" ht="15.75" customHeight="1" s="72"/>
    <row r="114" ht="15.75" customHeight="1" s="72"/>
    <row r="115" ht="15.75" customHeight="1" s="72"/>
    <row r="116" ht="15.75" customHeight="1" s="72"/>
    <row r="117" ht="15.75" customHeight="1" s="72"/>
    <row r="118" ht="15.75" customHeight="1" s="72"/>
    <row r="119" ht="15.75" customHeight="1" s="72"/>
    <row r="120" ht="15.75" customHeight="1" s="72"/>
    <row r="121" ht="15.75" customHeight="1" s="72"/>
    <row r="122" ht="15.75" customHeight="1" s="72"/>
    <row r="123" ht="15.75" customHeight="1" s="72"/>
    <row r="124" ht="15.75" customHeight="1" s="72"/>
    <row r="125" ht="15.75" customHeight="1" s="72"/>
    <row r="126" ht="15.75" customHeight="1" s="72"/>
    <row r="127" ht="15.75" customHeight="1" s="72"/>
    <row r="128" ht="15.75" customHeight="1" s="72"/>
    <row r="129" ht="15.75" customHeight="1" s="72"/>
    <row r="130" ht="15.75" customHeight="1" s="72"/>
    <row r="131" ht="15.75" customHeight="1" s="72"/>
    <row r="132" ht="15.75" customHeight="1" s="72"/>
    <row r="133" ht="15.75" customHeight="1" s="72"/>
    <row r="134" ht="15.75" customHeight="1" s="72"/>
    <row r="135" ht="15.75" customHeight="1" s="72"/>
    <row r="136" ht="15.75" customHeight="1" s="72"/>
    <row r="137" ht="15.75" customHeight="1" s="72"/>
    <row r="138" ht="15.75" customHeight="1" s="72"/>
    <row r="139" ht="15.75" customHeight="1" s="72"/>
    <row r="140" ht="15.75" customHeight="1" s="72"/>
    <row r="141" ht="15.75" customHeight="1" s="72"/>
    <row r="142" ht="15.75" customHeight="1" s="72"/>
    <row r="143" ht="15.75" customHeight="1" s="72"/>
    <row r="144" ht="15.75" customHeight="1" s="72"/>
    <row r="145" ht="15.75" customHeight="1" s="72"/>
    <row r="146" ht="15.75" customHeight="1" s="72"/>
    <row r="147" ht="15.75" customHeight="1" s="72"/>
    <row r="148" ht="15.75" customHeight="1" s="72"/>
    <row r="149" ht="15.75" customHeight="1" s="72"/>
    <row r="150" ht="15.75" customHeight="1" s="72"/>
    <row r="151" ht="15.75" customHeight="1" s="72"/>
    <row r="152" ht="15.75" customHeight="1" s="72"/>
    <row r="153" ht="15.75" customHeight="1" s="72"/>
    <row r="154" ht="15.75" customHeight="1" s="72"/>
    <row r="155" ht="15.75" customHeight="1" s="72"/>
    <row r="156" ht="15.75" customHeight="1" s="72"/>
    <row r="157" ht="15.75" customHeight="1" s="72"/>
    <row r="158" ht="15.75" customHeight="1" s="72"/>
    <row r="159" ht="15.75" customHeight="1" s="72"/>
    <row r="160" ht="15.75" customHeight="1" s="72"/>
    <row r="161" ht="15.75" customHeight="1" s="72"/>
    <row r="162" ht="15.75" customHeight="1" s="72"/>
    <row r="163" ht="15.75" customHeight="1" s="72"/>
    <row r="164" ht="15.75" customHeight="1" s="72"/>
    <row r="165" ht="15.75" customHeight="1" s="72"/>
    <row r="166" ht="15.75" customHeight="1" s="72"/>
    <row r="167" ht="15.75" customHeight="1" s="72"/>
    <row r="168" ht="15.75" customHeight="1" s="72"/>
    <row r="169" ht="15.75" customHeight="1" s="72"/>
    <row r="170" ht="15.75" customHeight="1" s="72"/>
    <row r="171" ht="15.75" customHeight="1" s="72"/>
    <row r="172" ht="15.75" customHeight="1" s="72"/>
    <row r="173" ht="15.75" customHeight="1" s="72"/>
    <row r="174" ht="15.75" customHeight="1" s="72"/>
    <row r="175" ht="15.75" customHeight="1" s="72"/>
    <row r="176" ht="15.75" customHeight="1" s="72"/>
    <row r="177" ht="15.75" customHeight="1" s="72"/>
    <row r="178" ht="15.75" customHeight="1" s="72"/>
    <row r="179" ht="15.75" customHeight="1" s="72"/>
    <row r="180" ht="15.75" customHeight="1" s="72"/>
    <row r="181" ht="15.75" customHeight="1" s="72"/>
    <row r="182" ht="15.75" customHeight="1" s="72"/>
    <row r="183" ht="15.75" customHeight="1" s="72"/>
    <row r="184" ht="15.75" customHeight="1" s="72"/>
    <row r="185" ht="15.75" customHeight="1" s="72"/>
    <row r="186" ht="15.75" customHeight="1" s="72"/>
    <row r="187" ht="15.75" customHeight="1" s="72"/>
    <row r="188" ht="15.75" customHeight="1" s="72"/>
    <row r="189" ht="15.75" customHeight="1" s="72"/>
    <row r="190" ht="15.75" customHeight="1" s="72"/>
    <row r="191" ht="15.75" customHeight="1" s="72"/>
    <row r="192" ht="15.75" customHeight="1" s="72"/>
    <row r="193" ht="15.75" customHeight="1" s="72"/>
    <row r="194" ht="15.75" customHeight="1" s="72"/>
    <row r="195" ht="15.75" customHeight="1" s="72"/>
    <row r="196" ht="15.75" customHeight="1" s="72"/>
    <row r="197" ht="15.75" customHeight="1" s="72"/>
    <row r="198" ht="15.75" customHeight="1" s="72"/>
    <row r="199" ht="15.75" customHeight="1" s="72"/>
    <row r="200" ht="15.75" customHeight="1" s="72"/>
    <row r="201" ht="15.75" customHeight="1" s="72"/>
    <row r="202" ht="15.75" customHeight="1" s="72"/>
    <row r="203" ht="15.75" customHeight="1" s="72"/>
    <row r="204" ht="15.75" customHeight="1" s="72"/>
    <row r="205" ht="15.75" customHeight="1" s="72"/>
    <row r="206" ht="15.75" customHeight="1" s="72"/>
    <row r="207" ht="15.75" customHeight="1" s="72"/>
    <row r="208" ht="15.75" customHeight="1" s="72"/>
    <row r="209" ht="15.75" customHeight="1" s="72"/>
    <row r="210" ht="15.75" customHeight="1" s="72"/>
    <row r="211" ht="15.75" customHeight="1" s="72"/>
    <row r="212" ht="15.75" customHeight="1" s="72"/>
    <row r="213" ht="15.75" customHeight="1" s="72"/>
    <row r="214" ht="15.75" customHeight="1" s="72"/>
    <row r="215" ht="15.75" customHeight="1" s="72"/>
    <row r="216" ht="15.75" customHeight="1" s="72"/>
    <row r="217" ht="15.75" customHeight="1" s="72"/>
    <row r="218" ht="15.75" customHeight="1" s="72"/>
    <row r="219" ht="15.75" customHeight="1" s="72"/>
    <row r="220" ht="15.75" customHeight="1" s="72"/>
    <row r="221" ht="15.75" customHeight="1" s="72"/>
    <row r="222" ht="15.75" customHeight="1" s="72"/>
    <row r="223" ht="15.75" customHeight="1" s="72"/>
    <row r="224" ht="15.75" customHeight="1" s="72"/>
    <row r="225" ht="15.75" customHeight="1" s="72"/>
    <row r="226" ht="15.75" customHeight="1" s="72"/>
    <row r="227" ht="15.75" customHeight="1" s="72"/>
    <row r="228" ht="15.75" customHeight="1" s="72"/>
    <row r="229" ht="15.75" customHeight="1" s="72"/>
    <row r="230" ht="15.75" customHeight="1" s="72"/>
    <row r="231" ht="15.75" customHeight="1" s="72"/>
    <row r="232" ht="15.75" customHeight="1" s="72"/>
    <row r="233" ht="15.75" customHeight="1" s="72"/>
    <row r="234" ht="15.75" customHeight="1" s="72"/>
    <row r="235" ht="15.75" customHeight="1" s="72"/>
    <row r="236" ht="15.75" customHeight="1" s="72"/>
    <row r="237" ht="15.75" customHeight="1" s="72"/>
    <row r="238" ht="15.75" customHeight="1" s="72"/>
    <row r="239" ht="15.75" customHeight="1" s="72"/>
    <row r="240" ht="15.75" customHeight="1" s="72"/>
    <row r="241" ht="15.75" customHeight="1" s="72"/>
    <row r="242" ht="15.75" customHeight="1" s="72"/>
    <row r="243" ht="15.75" customHeight="1" s="72"/>
    <row r="244" ht="15.75" customHeight="1" s="72"/>
    <row r="245" ht="15.75" customHeight="1" s="72"/>
    <row r="246" ht="15.75" customHeight="1" s="72"/>
    <row r="247" ht="15.75" customHeight="1" s="72"/>
    <row r="248" ht="15.75" customHeight="1" s="72"/>
    <row r="249" ht="15.75" customHeight="1" s="72"/>
    <row r="250" ht="15.75" customHeight="1" s="72"/>
    <row r="251" ht="15.75" customHeight="1" s="72"/>
    <row r="252" ht="15.75" customHeight="1" s="72"/>
    <row r="253" ht="15.75" customHeight="1" s="72"/>
    <row r="254" ht="15.75" customHeight="1" s="72"/>
    <row r="255" ht="15.75" customHeight="1" s="72"/>
    <row r="256" ht="15.75" customHeight="1" s="72"/>
    <row r="257" ht="15.75" customHeight="1" s="72"/>
    <row r="258" ht="15.75" customHeight="1" s="72"/>
    <row r="259" ht="15.75" customHeight="1" s="72"/>
    <row r="260" ht="15.75" customHeight="1" s="72"/>
    <row r="261" ht="15.75" customHeight="1" s="72"/>
    <row r="262" ht="15.75" customHeight="1" s="72"/>
    <row r="263" ht="15.75" customHeight="1" s="72"/>
    <row r="264" ht="15.75" customHeight="1" s="72"/>
    <row r="265" ht="15.75" customHeight="1" s="72"/>
    <row r="266" ht="15.75" customHeight="1" s="72"/>
    <row r="267" ht="15.75" customHeight="1" s="72"/>
    <row r="268" ht="15.75" customHeight="1" s="72"/>
    <row r="269" ht="15.75" customHeight="1" s="72"/>
    <row r="270" ht="15.75" customHeight="1" s="72"/>
    <row r="271" ht="15.75" customHeight="1" s="72"/>
    <row r="272" ht="15.75" customHeight="1" s="72"/>
    <row r="273" ht="15.75" customHeight="1" s="72"/>
    <row r="274" ht="15.75" customHeight="1" s="72"/>
    <row r="275" ht="15.75" customHeight="1" s="72"/>
    <row r="276" ht="15.75" customHeight="1" s="72"/>
    <row r="277" ht="15.75" customHeight="1" s="72"/>
    <row r="278" ht="15.75" customHeight="1" s="72"/>
    <row r="279" ht="15.75" customHeight="1" s="72"/>
    <row r="280" ht="15.75" customHeight="1" s="72"/>
    <row r="281" ht="15.75" customHeight="1" s="72"/>
    <row r="282" ht="15.75" customHeight="1" s="72"/>
    <row r="283" ht="15.75" customHeight="1" s="72"/>
    <row r="284" ht="15.75" customHeight="1" s="72"/>
    <row r="285" ht="15.75" customHeight="1" s="72"/>
    <row r="286" ht="15.75" customHeight="1" s="72"/>
    <row r="287" ht="15.75" customHeight="1" s="72"/>
    <row r="288" ht="15.75" customHeight="1" s="72"/>
    <row r="289" ht="15.75" customHeight="1" s="72"/>
    <row r="290" ht="15.75" customHeight="1" s="72"/>
    <row r="291" ht="15.75" customHeight="1" s="72"/>
    <row r="292" ht="15.75" customHeight="1" s="72"/>
    <row r="293" ht="15.75" customHeight="1" s="72"/>
    <row r="294" ht="15.75" customHeight="1" s="72"/>
    <row r="295" ht="15.75" customHeight="1" s="72"/>
    <row r="296" ht="15.75" customHeight="1" s="72"/>
    <row r="297" ht="15.75" customHeight="1" s="72"/>
    <row r="298" ht="15.75" customHeight="1" s="72"/>
    <row r="299" ht="15.75" customHeight="1" s="72"/>
    <row r="300" ht="15.75" customHeight="1" s="72"/>
    <row r="301" ht="15.75" customHeight="1" s="72"/>
    <row r="302" ht="15.75" customHeight="1" s="72"/>
    <row r="303" ht="15.75" customHeight="1" s="72"/>
    <row r="304" ht="15.75" customHeight="1" s="72"/>
    <row r="305" ht="15.75" customHeight="1" s="72"/>
    <row r="306" ht="15.75" customHeight="1" s="72"/>
    <row r="307" ht="15.75" customHeight="1" s="72"/>
    <row r="308" ht="15.75" customHeight="1" s="72"/>
    <row r="309" ht="15.75" customHeight="1" s="72"/>
    <row r="310" ht="15.75" customHeight="1" s="72"/>
    <row r="311" ht="15.75" customHeight="1" s="72"/>
    <row r="312" ht="15.75" customHeight="1" s="72"/>
    <row r="313" ht="15.75" customHeight="1" s="72"/>
    <row r="314" ht="15.75" customHeight="1" s="72"/>
    <row r="315" ht="15.75" customHeight="1" s="72"/>
    <row r="316" ht="15.75" customHeight="1" s="72"/>
    <row r="317" ht="15.75" customHeight="1" s="72"/>
    <row r="318" ht="15.75" customHeight="1" s="72"/>
    <row r="319" ht="15.75" customHeight="1" s="72"/>
    <row r="320" ht="15.75" customHeight="1" s="72"/>
    <row r="321" ht="15.75" customHeight="1" s="72"/>
    <row r="322" ht="15.75" customHeight="1" s="72"/>
    <row r="323" ht="15.75" customHeight="1" s="72"/>
    <row r="324" ht="15.75" customHeight="1" s="72"/>
    <row r="325" ht="15.75" customHeight="1" s="72"/>
    <row r="326" ht="15.75" customHeight="1" s="72"/>
    <row r="327" ht="15.75" customHeight="1" s="72"/>
    <row r="328" ht="15.75" customHeight="1" s="72"/>
    <row r="329" ht="15.75" customHeight="1" s="72"/>
    <row r="330" ht="15.75" customHeight="1" s="72"/>
    <row r="331" ht="15.75" customHeight="1" s="72"/>
    <row r="332" ht="15.75" customHeight="1" s="72"/>
    <row r="333" ht="15.75" customHeight="1" s="72"/>
    <row r="334" ht="15.75" customHeight="1" s="72"/>
    <row r="335" ht="15.75" customHeight="1" s="72"/>
    <row r="336" ht="15.75" customHeight="1" s="72"/>
    <row r="337" ht="15.75" customHeight="1" s="72"/>
    <row r="338" ht="15.75" customHeight="1" s="72"/>
    <row r="339" ht="15.75" customHeight="1" s="72"/>
    <row r="340" ht="15.75" customHeight="1" s="72"/>
    <row r="341" ht="15.75" customHeight="1" s="72"/>
    <row r="342" ht="15.75" customHeight="1" s="72"/>
    <row r="343" ht="15.75" customHeight="1" s="72"/>
    <row r="344" ht="15.75" customHeight="1" s="72"/>
    <row r="345" ht="15.75" customHeight="1" s="72"/>
    <row r="346" ht="15.75" customHeight="1" s="72"/>
    <row r="347" ht="15.75" customHeight="1" s="72"/>
    <row r="348" ht="15.75" customHeight="1" s="72"/>
    <row r="349" ht="15.75" customHeight="1" s="72"/>
    <row r="350" ht="15.75" customHeight="1" s="72"/>
    <row r="351" ht="15.75" customHeight="1" s="72"/>
    <row r="352" ht="15.75" customHeight="1" s="72"/>
    <row r="353" ht="15.75" customHeight="1" s="72"/>
    <row r="354" ht="15.75" customHeight="1" s="72"/>
    <row r="355" ht="15.75" customHeight="1" s="72"/>
    <row r="356" ht="15.75" customHeight="1" s="72"/>
    <row r="357" ht="15.75" customHeight="1" s="72"/>
    <row r="358" ht="15.75" customHeight="1" s="72"/>
    <row r="359" ht="15.75" customHeight="1" s="72"/>
    <row r="360" ht="15.75" customHeight="1" s="72"/>
    <row r="361" ht="15.75" customHeight="1" s="72"/>
    <row r="362" ht="15.75" customHeight="1" s="72"/>
    <row r="363" ht="15.75" customHeight="1" s="72"/>
    <row r="364" ht="15.75" customHeight="1" s="72"/>
    <row r="365" ht="15.75" customHeight="1" s="72"/>
    <row r="366" ht="15.75" customHeight="1" s="72"/>
    <row r="367" ht="15.75" customHeight="1" s="72"/>
    <row r="368" ht="15.75" customHeight="1" s="72"/>
    <row r="369" ht="15.75" customHeight="1" s="72"/>
    <row r="370" ht="15.75" customHeight="1" s="72"/>
    <row r="371" ht="15.75" customHeight="1" s="72"/>
    <row r="372" ht="15.75" customHeight="1" s="72"/>
    <row r="373" ht="15.75" customHeight="1" s="72"/>
    <row r="374" ht="15.75" customHeight="1" s="72"/>
    <row r="375" ht="15.75" customHeight="1" s="72"/>
    <row r="376" ht="15.75" customHeight="1" s="72"/>
    <row r="377" ht="15.75" customHeight="1" s="72"/>
    <row r="378" ht="15.75" customHeight="1" s="72"/>
    <row r="379" ht="15.75" customHeight="1" s="72"/>
    <row r="380" ht="15.75" customHeight="1" s="72"/>
    <row r="381" ht="15.75" customHeight="1" s="72"/>
    <row r="382" ht="15.75" customHeight="1" s="72"/>
    <row r="383" ht="15.75" customHeight="1" s="72"/>
    <row r="384" ht="15.75" customHeight="1" s="72"/>
    <row r="385" ht="15.75" customHeight="1" s="72"/>
    <row r="386" ht="15.75" customHeight="1" s="72"/>
    <row r="387" ht="15.75" customHeight="1" s="72"/>
    <row r="388" ht="15.75" customHeight="1" s="72"/>
    <row r="389" ht="15.75" customHeight="1" s="72"/>
    <row r="390" ht="15.75" customHeight="1" s="72"/>
    <row r="391" ht="15.75" customHeight="1" s="72"/>
    <row r="392" ht="15.75" customHeight="1" s="72"/>
    <row r="393" ht="15.75" customHeight="1" s="72"/>
    <row r="394" ht="15.75" customHeight="1" s="72"/>
    <row r="395" ht="15.75" customHeight="1" s="72"/>
    <row r="396" ht="15.75" customHeight="1" s="72"/>
    <row r="397" ht="15.75" customHeight="1" s="72"/>
    <row r="398" ht="15.75" customHeight="1" s="72"/>
    <row r="399" ht="15.75" customHeight="1" s="72"/>
    <row r="400" ht="15.75" customHeight="1" s="72"/>
    <row r="401" ht="15.75" customHeight="1" s="72"/>
    <row r="402" ht="15.75" customHeight="1" s="72"/>
    <row r="403" ht="15.75" customHeight="1" s="72"/>
    <row r="404" ht="15.75" customHeight="1" s="72"/>
    <row r="405" ht="15.75" customHeight="1" s="72"/>
    <row r="406" ht="15.75" customHeight="1" s="72"/>
    <row r="407" ht="15.75" customHeight="1" s="72"/>
    <row r="408" ht="15.75" customHeight="1" s="72"/>
    <row r="409" ht="15.75" customHeight="1" s="72"/>
    <row r="410" ht="15.75" customHeight="1" s="72"/>
    <row r="411" ht="15.75" customHeight="1" s="72"/>
    <row r="412" ht="15.75" customHeight="1" s="72"/>
    <row r="413" ht="15.75" customHeight="1" s="72"/>
    <row r="414" ht="15.75" customHeight="1" s="72"/>
    <row r="415" ht="15.75" customHeight="1" s="72"/>
    <row r="416" ht="15.75" customHeight="1" s="72"/>
    <row r="417" ht="15.75" customHeight="1" s="72"/>
    <row r="418" ht="15.75" customHeight="1" s="72"/>
    <row r="419" ht="15.75" customHeight="1" s="72"/>
    <row r="420" ht="15.75" customHeight="1" s="72"/>
    <row r="421" ht="15.75" customHeight="1" s="72"/>
    <row r="422" ht="15.75" customHeight="1" s="72"/>
    <row r="423" ht="15.75" customHeight="1" s="72"/>
    <row r="424" ht="15.75" customHeight="1" s="72"/>
    <row r="425" ht="15.75" customHeight="1" s="72"/>
    <row r="426" ht="15.75" customHeight="1" s="72"/>
    <row r="427" ht="15.75" customHeight="1" s="72"/>
    <row r="428" ht="15.75" customHeight="1" s="72"/>
    <row r="429" ht="15.75" customHeight="1" s="72"/>
    <row r="430" ht="15.75" customHeight="1" s="72"/>
    <row r="431" ht="15.75" customHeight="1" s="72"/>
    <row r="432" ht="15.75" customHeight="1" s="72"/>
    <row r="433" ht="15.75" customHeight="1" s="72"/>
    <row r="434" ht="15.75" customHeight="1" s="72"/>
    <row r="435" ht="15.75" customHeight="1" s="72"/>
    <row r="436" ht="15.75" customHeight="1" s="72"/>
    <row r="437" ht="15.75" customHeight="1" s="72"/>
    <row r="438" ht="15.75" customHeight="1" s="72"/>
    <row r="439" ht="15.75" customHeight="1" s="72"/>
    <row r="440" ht="15.75" customHeight="1" s="72"/>
    <row r="441" ht="15.75" customHeight="1" s="72"/>
    <row r="442" ht="15.75" customHeight="1" s="72"/>
    <row r="443" ht="15.75" customHeight="1" s="72"/>
    <row r="444" ht="15.75" customHeight="1" s="72"/>
    <row r="445" ht="15.75" customHeight="1" s="72"/>
    <row r="446" ht="15.75" customHeight="1" s="72"/>
    <row r="447" ht="15.75" customHeight="1" s="72"/>
    <row r="448" ht="15.75" customHeight="1" s="72"/>
    <row r="449" ht="15.75" customHeight="1" s="72"/>
    <row r="450" ht="15.75" customHeight="1" s="72"/>
    <row r="451" ht="15.75" customHeight="1" s="72"/>
    <row r="452" ht="15.75" customHeight="1" s="72"/>
    <row r="453" ht="15.75" customHeight="1" s="72"/>
    <row r="454" ht="15.75" customHeight="1" s="72"/>
    <row r="455" ht="15.75" customHeight="1" s="72"/>
    <row r="456" ht="15.75" customHeight="1" s="72"/>
    <row r="457" ht="15.75" customHeight="1" s="72"/>
    <row r="458" ht="15.75" customHeight="1" s="72"/>
    <row r="459" ht="15.75" customHeight="1" s="72"/>
    <row r="460" ht="15.75" customHeight="1" s="72"/>
    <row r="461" ht="15.75" customHeight="1" s="72"/>
    <row r="462" ht="15.75" customHeight="1" s="72"/>
    <row r="463" ht="15.75" customHeight="1" s="72"/>
    <row r="464" ht="15.75" customHeight="1" s="72"/>
    <row r="465" ht="15.75" customHeight="1" s="72"/>
    <row r="466" ht="15.75" customHeight="1" s="72"/>
    <row r="467" ht="15.75" customHeight="1" s="72"/>
    <row r="468" ht="15.75" customHeight="1" s="72"/>
    <row r="469" ht="15.75" customHeight="1" s="72"/>
    <row r="470" ht="15.75" customHeight="1" s="72"/>
    <row r="471" ht="15.75" customHeight="1" s="72"/>
    <row r="472" ht="15.75" customHeight="1" s="72"/>
    <row r="473" ht="15.75" customHeight="1" s="72"/>
    <row r="474" ht="15.75" customHeight="1" s="72"/>
    <row r="475" ht="15.75" customHeight="1" s="72"/>
    <row r="476" ht="15.75" customHeight="1" s="72"/>
    <row r="477" ht="15.75" customHeight="1" s="72"/>
    <row r="478" ht="15.75" customHeight="1" s="72"/>
    <row r="479" ht="15.75" customHeight="1" s="72"/>
    <row r="480" ht="15.75" customHeight="1" s="72"/>
    <row r="481" ht="15.75" customHeight="1" s="72"/>
    <row r="482" ht="15.75" customHeight="1" s="72"/>
    <row r="483" ht="15.75" customHeight="1" s="72"/>
    <row r="484" ht="15.75" customHeight="1" s="72"/>
    <row r="485" ht="15.75" customHeight="1" s="72"/>
    <row r="486" ht="15.75" customHeight="1" s="72"/>
    <row r="487" ht="15.75" customHeight="1" s="72"/>
    <row r="488" ht="15.75" customHeight="1" s="72"/>
    <row r="489" ht="15.75" customHeight="1" s="72"/>
    <row r="490" ht="15.75" customHeight="1" s="72"/>
    <row r="491" ht="15.75" customHeight="1" s="72"/>
    <row r="492" ht="15.75" customHeight="1" s="72"/>
    <row r="493" ht="15.75" customHeight="1" s="72"/>
    <row r="494" ht="15.75" customHeight="1" s="72"/>
    <row r="495" ht="15.75" customHeight="1" s="72"/>
    <row r="496" ht="15.75" customHeight="1" s="72"/>
    <row r="497" ht="15.75" customHeight="1" s="72"/>
    <row r="498" ht="15.75" customHeight="1" s="72"/>
    <row r="499" ht="15.75" customHeight="1" s="72"/>
    <row r="500" ht="15.75" customHeight="1" s="72"/>
    <row r="501" ht="15.75" customHeight="1" s="72"/>
    <row r="502" ht="15.75" customHeight="1" s="72"/>
    <row r="503" ht="15.75" customHeight="1" s="72"/>
    <row r="504" ht="15.75" customHeight="1" s="72"/>
    <row r="505" ht="15.75" customHeight="1" s="72"/>
    <row r="506" ht="15.75" customHeight="1" s="72"/>
    <row r="507" ht="15.75" customHeight="1" s="72"/>
    <row r="508" ht="15.75" customHeight="1" s="72"/>
    <row r="509" ht="15.75" customHeight="1" s="72"/>
    <row r="510" ht="15.75" customHeight="1" s="72"/>
    <row r="511" ht="15.75" customHeight="1" s="72"/>
    <row r="512" ht="15.75" customHeight="1" s="72"/>
    <row r="513" ht="15.75" customHeight="1" s="72"/>
    <row r="514" ht="15.75" customHeight="1" s="72"/>
    <row r="515" ht="15.75" customHeight="1" s="72"/>
    <row r="516" ht="15.75" customHeight="1" s="72"/>
    <row r="517" ht="15.75" customHeight="1" s="72"/>
    <row r="518" ht="15.75" customHeight="1" s="72"/>
    <row r="519" ht="15.75" customHeight="1" s="72"/>
    <row r="520" ht="15.75" customHeight="1" s="72"/>
    <row r="521" ht="15.75" customHeight="1" s="72"/>
    <row r="522" ht="15.75" customHeight="1" s="72"/>
    <row r="523" ht="15.75" customHeight="1" s="72"/>
    <row r="524" ht="15.75" customHeight="1" s="72"/>
    <row r="525" ht="15.75" customHeight="1" s="72"/>
    <row r="526" ht="15.75" customHeight="1" s="72"/>
    <row r="527" ht="15.75" customHeight="1" s="72"/>
    <row r="528" ht="15.75" customHeight="1" s="72"/>
    <row r="529" ht="15.75" customHeight="1" s="72"/>
    <row r="530" ht="15.75" customHeight="1" s="72"/>
    <row r="531" ht="15.75" customHeight="1" s="72"/>
    <row r="532" ht="15.75" customHeight="1" s="72"/>
    <row r="533" ht="15.75" customHeight="1" s="72"/>
    <row r="534" ht="15.75" customHeight="1" s="72"/>
    <row r="535" ht="15.75" customHeight="1" s="72"/>
    <row r="536" ht="15.75" customHeight="1" s="72"/>
    <row r="537" ht="15.75" customHeight="1" s="72"/>
    <row r="538" ht="15.75" customHeight="1" s="72"/>
    <row r="539" ht="15.75" customHeight="1" s="72"/>
    <row r="540" ht="15.75" customHeight="1" s="72"/>
    <row r="541" ht="15.75" customHeight="1" s="72"/>
    <row r="542" ht="15.75" customHeight="1" s="72"/>
    <row r="543" ht="15.75" customHeight="1" s="72"/>
    <row r="544" ht="15.75" customHeight="1" s="72"/>
    <row r="545" ht="15.75" customHeight="1" s="72"/>
    <row r="546" ht="15.75" customHeight="1" s="72"/>
    <row r="547" ht="15.75" customHeight="1" s="72"/>
    <row r="548" ht="15.75" customHeight="1" s="72"/>
    <row r="549" ht="15.75" customHeight="1" s="72"/>
    <row r="550" ht="15.75" customHeight="1" s="72"/>
    <row r="551" ht="15.75" customHeight="1" s="72"/>
    <row r="552" ht="15.75" customHeight="1" s="72"/>
    <row r="553" ht="15.75" customHeight="1" s="72"/>
    <row r="554" ht="15.75" customHeight="1" s="72"/>
    <row r="555" ht="15.75" customHeight="1" s="72"/>
    <row r="556" ht="15.75" customHeight="1" s="72"/>
    <row r="557" ht="15.75" customHeight="1" s="72"/>
    <row r="558" ht="15.75" customHeight="1" s="72"/>
    <row r="559" ht="15.75" customHeight="1" s="72"/>
    <row r="560" ht="15.75" customHeight="1" s="72"/>
    <row r="561" ht="15.75" customHeight="1" s="72"/>
    <row r="562" ht="15.75" customHeight="1" s="72"/>
    <row r="563" ht="15.75" customHeight="1" s="72"/>
    <row r="564" ht="15.75" customHeight="1" s="72"/>
    <row r="565" ht="15.75" customHeight="1" s="72"/>
    <row r="566" ht="15.75" customHeight="1" s="72"/>
    <row r="567" ht="15.75" customHeight="1" s="72"/>
    <row r="568" ht="15.75" customHeight="1" s="72"/>
    <row r="569" ht="15.75" customHeight="1" s="72"/>
    <row r="570" ht="15.75" customHeight="1" s="72"/>
    <row r="571" ht="15.75" customHeight="1" s="72"/>
    <row r="572" ht="15.75" customHeight="1" s="72"/>
    <row r="573" ht="15.75" customHeight="1" s="72"/>
    <row r="574" ht="15.75" customHeight="1" s="72"/>
    <row r="575" ht="15.75" customHeight="1" s="72"/>
    <row r="576" ht="15.75" customHeight="1" s="72"/>
    <row r="577" ht="15.75" customHeight="1" s="72"/>
    <row r="578" ht="15.75" customHeight="1" s="72"/>
    <row r="579" ht="15.75" customHeight="1" s="72"/>
    <row r="580" ht="15.75" customHeight="1" s="72"/>
    <row r="581" ht="15.75" customHeight="1" s="72"/>
    <row r="582" ht="15.75" customHeight="1" s="72"/>
    <row r="583" ht="15.75" customHeight="1" s="72"/>
    <row r="584" ht="15.75" customHeight="1" s="72"/>
    <row r="585" ht="15.75" customHeight="1" s="72"/>
    <row r="586" ht="15.75" customHeight="1" s="72"/>
    <row r="587" ht="15.75" customHeight="1" s="72"/>
    <row r="588" ht="15.75" customHeight="1" s="72"/>
    <row r="589" ht="15.75" customHeight="1" s="72"/>
    <row r="590" ht="15.75" customHeight="1" s="72"/>
    <row r="591" ht="15.75" customHeight="1" s="72"/>
    <row r="592" ht="15.75" customHeight="1" s="72"/>
    <row r="593" ht="15.75" customHeight="1" s="72"/>
    <row r="594" ht="15.75" customHeight="1" s="72"/>
    <row r="595" ht="15.75" customHeight="1" s="72"/>
    <row r="596" ht="15.75" customHeight="1" s="72"/>
    <row r="597" ht="15.75" customHeight="1" s="72"/>
    <row r="598" ht="15.75" customHeight="1" s="72"/>
    <row r="599" ht="15.75" customHeight="1" s="72"/>
    <row r="600" ht="15.75" customHeight="1" s="72"/>
    <row r="601" ht="15.75" customHeight="1" s="72"/>
    <row r="602" ht="15.75" customHeight="1" s="72"/>
    <row r="603" ht="15.75" customHeight="1" s="72"/>
    <row r="604" ht="15.75" customHeight="1" s="72"/>
    <row r="605" ht="15.75" customHeight="1" s="72"/>
    <row r="606" ht="15.75" customHeight="1" s="72"/>
    <row r="607" ht="15.75" customHeight="1" s="72"/>
    <row r="608" ht="15.75" customHeight="1" s="72"/>
    <row r="609" ht="15.75" customHeight="1" s="72"/>
    <row r="610" ht="15.75" customHeight="1" s="72"/>
    <row r="611" ht="15.75" customHeight="1" s="72"/>
    <row r="612" ht="15.75" customHeight="1" s="72"/>
    <row r="613" ht="15.75" customHeight="1" s="72"/>
    <row r="614" ht="15.75" customHeight="1" s="72"/>
    <row r="615" ht="15.75" customHeight="1" s="72"/>
    <row r="616" ht="15.75" customHeight="1" s="72"/>
    <row r="617" ht="15.75" customHeight="1" s="72"/>
    <row r="618" ht="15.75" customHeight="1" s="72"/>
    <row r="619" ht="15.75" customHeight="1" s="72"/>
    <row r="620" ht="15.75" customHeight="1" s="72"/>
    <row r="621" ht="15.75" customHeight="1" s="72"/>
    <row r="622" ht="15.75" customHeight="1" s="72"/>
    <row r="623" ht="15.75" customHeight="1" s="72"/>
    <row r="624" ht="15.75" customHeight="1" s="72"/>
    <row r="625" ht="15.75" customHeight="1" s="72"/>
    <row r="626" ht="15.75" customHeight="1" s="72"/>
    <row r="627" ht="15.75" customHeight="1" s="72"/>
    <row r="628" ht="15.75" customHeight="1" s="72"/>
    <row r="629" ht="15.75" customHeight="1" s="72"/>
    <row r="630" ht="15.75" customHeight="1" s="72"/>
    <row r="631" ht="15.75" customHeight="1" s="72"/>
    <row r="632" ht="15.75" customHeight="1" s="72"/>
    <row r="633" ht="15.75" customHeight="1" s="72"/>
    <row r="634" ht="15.75" customHeight="1" s="72"/>
    <row r="635" ht="15.75" customHeight="1" s="72"/>
    <row r="636" ht="15.75" customHeight="1" s="72"/>
    <row r="637" ht="15.75" customHeight="1" s="72"/>
    <row r="638" ht="15.75" customHeight="1" s="72"/>
    <row r="639" ht="15.75" customHeight="1" s="72"/>
    <row r="640" ht="15.75" customHeight="1" s="72"/>
    <row r="641" ht="15.75" customHeight="1" s="72"/>
    <row r="642" ht="15.75" customHeight="1" s="72"/>
    <row r="643" ht="15.75" customHeight="1" s="72"/>
    <row r="644" ht="15.75" customHeight="1" s="72"/>
    <row r="645" ht="15.75" customHeight="1" s="72"/>
    <row r="646" ht="15.75" customHeight="1" s="72"/>
    <row r="647" ht="15.75" customHeight="1" s="72"/>
    <row r="648" ht="15.75" customHeight="1" s="72"/>
    <row r="649" ht="15.75" customHeight="1" s="72"/>
    <row r="650" ht="15.75" customHeight="1" s="72"/>
    <row r="651" ht="15.75" customHeight="1" s="72"/>
    <row r="652" ht="15.75" customHeight="1" s="72"/>
    <row r="653" ht="15.75" customHeight="1" s="72"/>
    <row r="654" ht="15.75" customHeight="1" s="72"/>
    <row r="655" ht="15.75" customHeight="1" s="72"/>
    <row r="656" ht="15.75" customHeight="1" s="72"/>
    <row r="657" ht="15.75" customHeight="1" s="72"/>
    <row r="658" ht="15.75" customHeight="1" s="72"/>
    <row r="659" ht="15.75" customHeight="1" s="72"/>
    <row r="660" ht="15.75" customHeight="1" s="72"/>
    <row r="661" ht="15.75" customHeight="1" s="72"/>
    <row r="662" ht="15.75" customHeight="1" s="72"/>
    <row r="663" ht="15.75" customHeight="1" s="72"/>
    <row r="664" ht="15.75" customHeight="1" s="72"/>
    <row r="665" ht="15.75" customHeight="1" s="72"/>
    <row r="666" ht="15.75" customHeight="1" s="72"/>
    <row r="667" ht="15.75" customHeight="1" s="72"/>
    <row r="668" ht="15.75" customHeight="1" s="72"/>
    <row r="669" ht="15.75" customHeight="1" s="72"/>
    <row r="670" ht="15.75" customHeight="1" s="72"/>
    <row r="671" ht="15.75" customHeight="1" s="72"/>
    <row r="672" ht="15.75" customHeight="1" s="72"/>
    <row r="673" ht="15.75" customHeight="1" s="72"/>
    <row r="674" ht="15.75" customHeight="1" s="72"/>
    <row r="675" ht="15.75" customHeight="1" s="72"/>
    <row r="676" ht="15.75" customHeight="1" s="72"/>
    <row r="677" ht="15.75" customHeight="1" s="72"/>
    <row r="678" ht="15.75" customHeight="1" s="72"/>
    <row r="679" ht="15.75" customHeight="1" s="72"/>
    <row r="680" ht="15.75" customHeight="1" s="72"/>
    <row r="681" ht="15.75" customHeight="1" s="72"/>
    <row r="682" ht="15.75" customHeight="1" s="72"/>
    <row r="683" ht="15.75" customHeight="1" s="72"/>
    <row r="684" ht="15.75" customHeight="1" s="72"/>
    <row r="685" ht="15.75" customHeight="1" s="72"/>
    <row r="686" ht="15.75" customHeight="1" s="72"/>
    <row r="687" ht="15.75" customHeight="1" s="72"/>
    <row r="688" ht="15.75" customHeight="1" s="72"/>
    <row r="689" ht="15.75" customHeight="1" s="72"/>
    <row r="690" ht="15.75" customHeight="1" s="72"/>
    <row r="691" ht="15.75" customHeight="1" s="72"/>
    <row r="692" ht="15.75" customHeight="1" s="72"/>
    <row r="693" ht="15.75" customHeight="1" s="72"/>
    <row r="694" ht="15.75" customHeight="1" s="72"/>
    <row r="695" ht="15.75" customHeight="1" s="72"/>
    <row r="696" ht="15.75" customHeight="1" s="72"/>
    <row r="697" ht="15.75" customHeight="1" s="72"/>
    <row r="698" ht="15.75" customHeight="1" s="72"/>
    <row r="699" ht="15.75" customHeight="1" s="72"/>
    <row r="700" ht="15.75" customHeight="1" s="72"/>
    <row r="701" ht="15.75" customHeight="1" s="72"/>
    <row r="702" ht="15.75" customHeight="1" s="72"/>
    <row r="703" ht="15.75" customHeight="1" s="72"/>
    <row r="704" ht="15.75" customHeight="1" s="72"/>
    <row r="705" ht="15.75" customHeight="1" s="72"/>
    <row r="706" ht="15.75" customHeight="1" s="72"/>
    <row r="707" ht="15.75" customHeight="1" s="72"/>
    <row r="708" ht="15.75" customHeight="1" s="72"/>
    <row r="709" ht="15.75" customHeight="1" s="72"/>
    <row r="710" ht="15.75" customHeight="1" s="72"/>
    <row r="711" ht="15.75" customHeight="1" s="72"/>
    <row r="712" ht="15.75" customHeight="1" s="72"/>
    <row r="713" ht="15.75" customHeight="1" s="72"/>
    <row r="714" ht="15.75" customHeight="1" s="72"/>
    <row r="715" ht="15.75" customHeight="1" s="72"/>
    <row r="716" ht="15.75" customHeight="1" s="72"/>
    <row r="717" ht="15.75" customHeight="1" s="72"/>
    <row r="718" ht="15.75" customHeight="1" s="72"/>
    <row r="719" ht="15.75" customHeight="1" s="72"/>
    <row r="720" ht="15.75" customHeight="1" s="72"/>
    <row r="721" ht="15.75" customHeight="1" s="72"/>
    <row r="722" ht="15.75" customHeight="1" s="72"/>
    <row r="723" ht="15.75" customHeight="1" s="72"/>
    <row r="724" ht="15.75" customHeight="1" s="72"/>
    <row r="725" ht="15.75" customHeight="1" s="72"/>
    <row r="726" ht="15.75" customHeight="1" s="72"/>
    <row r="727" ht="15.75" customHeight="1" s="72"/>
    <row r="728" ht="15.75" customHeight="1" s="72"/>
    <row r="729" ht="15.75" customHeight="1" s="72"/>
    <row r="730" ht="15.75" customHeight="1" s="72"/>
    <row r="731" ht="15.75" customHeight="1" s="72"/>
    <row r="732" ht="15.75" customHeight="1" s="72"/>
    <row r="733" ht="15.75" customHeight="1" s="72"/>
    <row r="734" ht="15.75" customHeight="1" s="72"/>
    <row r="735" ht="15.75" customHeight="1" s="72"/>
    <row r="736" ht="15.75" customHeight="1" s="72"/>
    <row r="737" ht="15.75" customHeight="1" s="72"/>
    <row r="738" ht="15.75" customHeight="1" s="72"/>
    <row r="739" ht="15.75" customHeight="1" s="72"/>
    <row r="740" ht="15.75" customHeight="1" s="72"/>
    <row r="741" ht="15.75" customHeight="1" s="72"/>
    <row r="742" ht="15.75" customHeight="1" s="72"/>
    <row r="743" ht="15.75" customHeight="1" s="72"/>
    <row r="744" ht="15.75" customHeight="1" s="72"/>
    <row r="745" ht="15.75" customHeight="1" s="72"/>
    <row r="746" ht="15.75" customHeight="1" s="72"/>
    <row r="747" ht="15.75" customHeight="1" s="72"/>
    <row r="748" ht="15.75" customHeight="1" s="72"/>
    <row r="749" ht="15.75" customHeight="1" s="72"/>
    <row r="750" ht="15.75" customHeight="1" s="72"/>
    <row r="751" ht="15.75" customHeight="1" s="72"/>
    <row r="752" ht="15.75" customHeight="1" s="72"/>
    <row r="753" ht="15.75" customHeight="1" s="72"/>
    <row r="754" ht="15.75" customHeight="1" s="72"/>
    <row r="755" ht="15.75" customHeight="1" s="72"/>
    <row r="756" ht="15.75" customHeight="1" s="72"/>
    <row r="757" ht="15.75" customHeight="1" s="72"/>
    <row r="758" ht="15.75" customHeight="1" s="72"/>
    <row r="759" ht="15.75" customHeight="1" s="72"/>
    <row r="760" ht="15.75" customHeight="1" s="72"/>
    <row r="761" ht="15.75" customHeight="1" s="72"/>
    <row r="762" ht="15.75" customHeight="1" s="72"/>
    <row r="763" ht="15.75" customHeight="1" s="72"/>
    <row r="764" ht="15.75" customHeight="1" s="72"/>
    <row r="765" ht="15.75" customHeight="1" s="72"/>
    <row r="766" ht="15.75" customHeight="1" s="72"/>
    <row r="767" ht="15.75" customHeight="1" s="72"/>
    <row r="768" ht="15.75" customHeight="1" s="72"/>
    <row r="769" ht="15.75" customHeight="1" s="72"/>
    <row r="770" ht="15.75" customHeight="1" s="72"/>
    <row r="771" ht="15.75" customHeight="1" s="72"/>
    <row r="772" ht="15.75" customHeight="1" s="72"/>
    <row r="773" ht="15.75" customHeight="1" s="72"/>
    <row r="774" ht="15.75" customHeight="1" s="72"/>
    <row r="775" ht="15.75" customHeight="1" s="72"/>
    <row r="776" ht="15.75" customHeight="1" s="72"/>
    <row r="777" ht="15.75" customHeight="1" s="72"/>
    <row r="778" ht="15.75" customHeight="1" s="72"/>
    <row r="779" ht="15.75" customHeight="1" s="72"/>
    <row r="780" ht="15.75" customHeight="1" s="72"/>
    <row r="781" ht="15.75" customHeight="1" s="72"/>
    <row r="782" ht="15.75" customHeight="1" s="72"/>
    <row r="783" ht="15.75" customHeight="1" s="72"/>
    <row r="784" ht="15.75" customHeight="1" s="72"/>
    <row r="785" ht="15.75" customHeight="1" s="72"/>
    <row r="786" ht="15.75" customHeight="1" s="72"/>
    <row r="787" ht="15.75" customHeight="1" s="72"/>
    <row r="788" ht="15.75" customHeight="1" s="72"/>
    <row r="789" ht="15.75" customHeight="1" s="72"/>
    <row r="790" ht="15.75" customHeight="1" s="72"/>
    <row r="791" ht="15.75" customHeight="1" s="72"/>
    <row r="792" ht="15.75" customHeight="1" s="72"/>
    <row r="793" ht="15.75" customHeight="1" s="72"/>
    <row r="794" ht="15.75" customHeight="1" s="72"/>
    <row r="795" ht="15.75" customHeight="1" s="72"/>
    <row r="796" ht="15.75" customHeight="1" s="72"/>
    <row r="797" ht="15.75" customHeight="1" s="72"/>
    <row r="798" ht="15.75" customHeight="1" s="72"/>
    <row r="799" ht="15.75" customHeight="1" s="72"/>
    <row r="800" ht="15.75" customHeight="1" s="72"/>
    <row r="801" ht="15.75" customHeight="1" s="72"/>
    <row r="802" ht="15.75" customHeight="1" s="72"/>
    <row r="803" ht="15.75" customHeight="1" s="72"/>
    <row r="804" ht="15.75" customHeight="1" s="72"/>
    <row r="805" ht="15.75" customHeight="1" s="72"/>
    <row r="806" ht="15.75" customHeight="1" s="72"/>
    <row r="807" ht="15.75" customHeight="1" s="72"/>
    <row r="808" ht="15.75" customHeight="1" s="72"/>
    <row r="809" ht="15.75" customHeight="1" s="72"/>
    <row r="810" ht="15.75" customHeight="1" s="72"/>
    <row r="811" ht="15.75" customHeight="1" s="72"/>
    <row r="812" ht="15.75" customHeight="1" s="72"/>
    <row r="813" ht="15.75" customHeight="1" s="72"/>
    <row r="814" ht="15.75" customHeight="1" s="72"/>
    <row r="815" ht="15.75" customHeight="1" s="72"/>
    <row r="816" ht="15.75" customHeight="1" s="72"/>
    <row r="817" ht="15.75" customHeight="1" s="72"/>
    <row r="818" ht="15.75" customHeight="1" s="72"/>
    <row r="819" ht="15.75" customHeight="1" s="72"/>
    <row r="820" ht="15.75" customHeight="1" s="72"/>
    <row r="821" ht="15.75" customHeight="1" s="72"/>
    <row r="822" ht="15.75" customHeight="1" s="72"/>
    <row r="823" ht="15.75" customHeight="1" s="72"/>
    <row r="824" ht="15.75" customHeight="1" s="72"/>
    <row r="825" ht="15.75" customHeight="1" s="72"/>
    <row r="826" ht="15.75" customHeight="1" s="72"/>
    <row r="827" ht="15.75" customHeight="1" s="72"/>
    <row r="828" ht="15.75" customHeight="1" s="72"/>
    <row r="829" ht="15.75" customHeight="1" s="72"/>
    <row r="830" ht="15.75" customHeight="1" s="72"/>
    <row r="831" ht="15.75" customHeight="1" s="72"/>
    <row r="832" ht="15.75" customHeight="1" s="72"/>
    <row r="833" ht="15.75" customHeight="1" s="72"/>
    <row r="834" ht="15.75" customHeight="1" s="72"/>
    <row r="835" ht="15.75" customHeight="1" s="72"/>
    <row r="836" ht="15.75" customHeight="1" s="72"/>
    <row r="837" ht="15.75" customHeight="1" s="72"/>
    <row r="838" ht="15.75" customHeight="1" s="72"/>
    <row r="839" ht="15.75" customHeight="1" s="72"/>
    <row r="840" ht="15.75" customHeight="1" s="72"/>
    <row r="841" ht="15.75" customHeight="1" s="72"/>
    <row r="842" ht="15.75" customHeight="1" s="72"/>
    <row r="843" ht="15.75" customHeight="1" s="72"/>
    <row r="844" ht="15.75" customHeight="1" s="72"/>
    <row r="845" ht="15.75" customHeight="1" s="72"/>
    <row r="846" ht="15.75" customHeight="1" s="72"/>
    <row r="847" ht="15.75" customHeight="1" s="72"/>
    <row r="848" ht="15.75" customHeight="1" s="72"/>
    <row r="849" ht="15.75" customHeight="1" s="72"/>
    <row r="850" ht="15.75" customHeight="1" s="72"/>
    <row r="851" ht="15.75" customHeight="1" s="72"/>
    <row r="852" ht="15.75" customHeight="1" s="72"/>
    <row r="853" ht="15.75" customHeight="1" s="72"/>
    <row r="854" ht="15.75" customHeight="1" s="72"/>
    <row r="855" ht="15.75" customHeight="1" s="72"/>
    <row r="856" ht="15.75" customHeight="1" s="72"/>
    <row r="857" ht="15.75" customHeight="1" s="72"/>
    <row r="858" ht="15.75" customHeight="1" s="72"/>
    <row r="859" ht="15.75" customHeight="1" s="72"/>
    <row r="860" ht="15.75" customHeight="1" s="72"/>
    <row r="861" ht="15.75" customHeight="1" s="72"/>
    <row r="862" ht="15.75" customHeight="1" s="72"/>
    <row r="863" ht="15.75" customHeight="1" s="72"/>
    <row r="864" ht="15.75" customHeight="1" s="72"/>
    <row r="865" ht="15.75" customHeight="1" s="72"/>
    <row r="866" ht="15.75" customHeight="1" s="72"/>
    <row r="867" ht="15.75" customHeight="1" s="72"/>
    <row r="868" ht="15.75" customHeight="1" s="72"/>
    <row r="869" ht="15.75" customHeight="1" s="72"/>
    <row r="870" ht="15.75" customHeight="1" s="72"/>
    <row r="871" ht="15.75" customHeight="1" s="72"/>
    <row r="872" ht="15.75" customHeight="1" s="72"/>
    <row r="873" ht="15.75" customHeight="1" s="72"/>
    <row r="874" ht="15.75" customHeight="1" s="72"/>
    <row r="875" ht="15.75" customHeight="1" s="72"/>
    <row r="876" ht="15.75" customHeight="1" s="72"/>
    <row r="877" ht="15.75" customHeight="1" s="72"/>
    <row r="878" ht="15.75" customHeight="1" s="72"/>
    <row r="879" ht="15.75" customHeight="1" s="72"/>
    <row r="880" ht="15.75" customHeight="1" s="72"/>
    <row r="881" ht="15.75" customHeight="1" s="72"/>
    <row r="882" ht="15.75" customHeight="1" s="72"/>
    <row r="883" ht="15.75" customHeight="1" s="72"/>
    <row r="884" ht="15.75" customHeight="1" s="72"/>
    <row r="885" ht="15.75" customHeight="1" s="72"/>
    <row r="886" ht="15.75" customHeight="1" s="72"/>
    <row r="887" ht="15.75" customHeight="1" s="72"/>
    <row r="888" ht="15.75" customHeight="1" s="72"/>
    <row r="889" ht="15.75" customHeight="1" s="72"/>
    <row r="890" ht="15.75" customHeight="1" s="72"/>
    <row r="891" ht="15.75" customHeight="1" s="72"/>
    <row r="892" ht="15.75" customHeight="1" s="72"/>
    <row r="893" ht="15.75" customHeight="1" s="72"/>
    <row r="894" ht="15.75" customHeight="1" s="72"/>
    <row r="895" ht="15.75" customHeight="1" s="72"/>
    <row r="896" ht="15.75" customHeight="1" s="72"/>
    <row r="897" ht="15.75" customHeight="1" s="72"/>
    <row r="898" ht="15.75" customHeight="1" s="72"/>
    <row r="899" ht="15.75" customHeight="1" s="72"/>
    <row r="900" ht="15.75" customHeight="1" s="72"/>
    <row r="901" ht="15.75" customHeight="1" s="72"/>
    <row r="902" ht="15.75" customHeight="1" s="72"/>
    <row r="903" ht="15.75" customHeight="1" s="72"/>
    <row r="904" ht="15.75" customHeight="1" s="72"/>
    <row r="905" ht="15.75" customHeight="1" s="72"/>
    <row r="906" ht="15.75" customHeight="1" s="72"/>
    <row r="907" ht="15.75" customHeight="1" s="72"/>
    <row r="908" ht="15.75" customHeight="1" s="72"/>
    <row r="909" ht="15.75" customHeight="1" s="72"/>
    <row r="910" ht="15.75" customHeight="1" s="72"/>
    <row r="911" ht="15.75" customHeight="1" s="72"/>
    <row r="912" ht="15.75" customHeight="1" s="72"/>
    <row r="913" ht="15.75" customHeight="1" s="72"/>
    <row r="914" ht="15.75" customHeight="1" s="72"/>
    <row r="915" ht="15.75" customHeight="1" s="72"/>
    <row r="916" ht="15.75" customHeight="1" s="72"/>
    <row r="917" ht="15.75" customHeight="1" s="72"/>
    <row r="918" ht="15.75" customHeight="1" s="72"/>
    <row r="919" ht="15.75" customHeight="1" s="72"/>
    <row r="920" ht="15.75" customHeight="1" s="72"/>
    <row r="921" ht="15.75" customHeight="1" s="72"/>
    <row r="922" ht="15.75" customHeight="1" s="72"/>
    <row r="923" ht="15.75" customHeight="1" s="72"/>
    <row r="924" ht="15.75" customHeight="1" s="72"/>
    <row r="925" ht="15.75" customHeight="1" s="72"/>
    <row r="926" ht="15.75" customHeight="1" s="72"/>
    <row r="927" ht="15.75" customHeight="1" s="72"/>
    <row r="928" ht="15.75" customHeight="1" s="72"/>
    <row r="929" ht="15.75" customHeight="1" s="72"/>
    <row r="930" ht="15.75" customHeight="1" s="72"/>
    <row r="931" ht="15.75" customHeight="1" s="72"/>
    <row r="932" ht="15.75" customHeight="1" s="72"/>
    <row r="933" ht="15.75" customHeight="1" s="72"/>
    <row r="934" ht="15.75" customHeight="1" s="72"/>
    <row r="935" ht="15.75" customHeight="1" s="72"/>
    <row r="936" ht="15.75" customHeight="1" s="72"/>
    <row r="937" ht="15.75" customHeight="1" s="72"/>
    <row r="938" ht="15.75" customHeight="1" s="72"/>
    <row r="939" ht="15.75" customHeight="1" s="72"/>
    <row r="940" ht="15.75" customHeight="1" s="72"/>
    <row r="941" ht="15.75" customHeight="1" s="72"/>
    <row r="942" ht="15.75" customHeight="1" s="72"/>
    <row r="943" ht="15.75" customHeight="1" s="72"/>
    <row r="944" ht="15.75" customHeight="1" s="72"/>
    <row r="945" ht="15.75" customHeight="1" s="72"/>
    <row r="946" ht="15.75" customHeight="1" s="72"/>
    <row r="947" ht="15.75" customHeight="1" s="72"/>
    <row r="948" ht="15.75" customHeight="1" s="72"/>
    <row r="949" ht="15.75" customHeight="1" s="72"/>
    <row r="950" ht="15.75" customHeight="1" s="72"/>
    <row r="951" ht="15.75" customHeight="1" s="72"/>
    <row r="952" ht="15.75" customHeight="1" s="72"/>
    <row r="953" ht="15.75" customHeight="1" s="72"/>
    <row r="954" ht="15.75" customHeight="1" s="72"/>
    <row r="955" ht="15.75" customHeight="1" s="72"/>
    <row r="956" ht="15.75" customHeight="1" s="72"/>
    <row r="957" ht="15.75" customHeight="1" s="72"/>
    <row r="958" ht="15.75" customHeight="1" s="72"/>
    <row r="959" ht="15.75" customHeight="1" s="72"/>
    <row r="960" ht="15.75" customHeight="1" s="72"/>
    <row r="961" ht="15.75" customHeight="1" s="72"/>
    <row r="962" ht="15.75" customHeight="1" s="72"/>
    <row r="963" ht="15.75" customHeight="1" s="72"/>
    <row r="964" ht="15.75" customHeight="1" s="72"/>
    <row r="965" ht="15.75" customHeight="1" s="72"/>
    <row r="966" ht="15.75" customHeight="1" s="72"/>
    <row r="967" ht="15.75" customHeight="1" s="72"/>
    <row r="968" ht="15.75" customHeight="1" s="72"/>
    <row r="969" ht="15.75" customHeight="1" s="72"/>
    <row r="970" ht="15.75" customHeight="1" s="72"/>
    <row r="971" ht="15.75" customHeight="1" s="72"/>
    <row r="972" ht="15.75" customHeight="1" s="72"/>
    <row r="973" ht="15.75" customHeight="1" s="72"/>
    <row r="974" ht="15.75" customHeight="1" s="72"/>
    <row r="975" ht="15.75" customHeight="1" s="72"/>
    <row r="976" ht="15.75" customHeight="1" s="72"/>
    <row r="977" ht="15.75" customHeight="1" s="72"/>
    <row r="978" ht="15.75" customHeight="1" s="72"/>
    <row r="979" ht="15.75" customHeight="1" s="72"/>
    <row r="980" ht="15.75" customHeight="1" s="72"/>
    <row r="981" ht="15.75" customHeight="1" s="72"/>
    <row r="982" ht="15.75" customHeight="1" s="72"/>
    <row r="983" ht="15.75" customHeight="1" s="72"/>
    <row r="984" ht="15.75" customHeight="1" s="72"/>
    <row r="985" ht="15.75" customHeight="1" s="72"/>
    <row r="986" ht="15.75" customHeight="1" s="72"/>
    <row r="987" ht="15.75" customHeight="1" s="72"/>
    <row r="988" ht="15.75" customHeight="1" s="72"/>
    <row r="989" ht="15.75" customHeight="1" s="72"/>
    <row r="990" ht="15.75" customHeight="1" s="72"/>
    <row r="991" ht="15.75" customHeight="1" s="72"/>
    <row r="992" ht="15.75" customHeight="1" s="72"/>
    <row r="993" ht="15.75" customHeight="1" s="72"/>
    <row r="994" ht="15.75" customHeight="1" s="72"/>
    <row r="995" ht="15.75" customHeight="1" s="72"/>
    <row r="996" ht="15.75" customHeight="1" s="72"/>
    <row r="997" ht="15.75" customHeight="1" s="72"/>
    <row r="998" ht="15.75" customHeight="1" s="72"/>
    <row r="999" ht="15.75" customHeight="1" s="72"/>
    <row r="1000" ht="15.75" customHeight="1" s="72"/>
  </sheetData>
  <mergeCells count="1">
    <mergeCell ref="A1:D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2026-08-15T11:02:23Z</dcterms:created>
  <dcterms:modified xmlns:dcterms="http://purl.org/dc/terms/" xmlns:xsi="http://www.w3.org/2001/XMLSchema-instance" xsi:type="dcterms:W3CDTF">2026-09-08T16:08:31Z</dcterms:modified>
</cp:coreProperties>
</file>