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Sesiones" sheetId="2" state="visible" r:id="rId2"/>
    <sheet xmlns:r="http://schemas.openxmlformats.org/officeDocument/2006/relationships" name="Bloques" sheetId="3" state="visible" r:id="rId3"/>
    <sheet xmlns:r="http://schemas.openxmlformats.org/officeDocument/2006/relationships" name="Entregas" sheetId="4" state="visible" r:id="rId4"/>
    <sheet xmlns:r="http://schemas.openxmlformats.org/officeDocument/2006/relationships" name="Historial git" sheetId="5" state="visible" r:id="rId5"/>
    <sheet xmlns:r="http://schemas.openxmlformats.org/officeDocument/2006/relationships" name="Detalle archivos" sheetId="6" state="visible" r:id="rId6"/>
  </sheets>
  <definedNames/>
  <calcPr calcId="124519" fullCalcOnLoad="1"/>
</workbook>
</file>

<file path=xl/styles.xml><?xml version="1.0" encoding="utf-8"?>
<styleSheet xmlns="http://schemas.openxmlformats.org/spreadsheetml/2006/main">
  <numFmts count="4">
    <numFmt numFmtId="164" formatCode="yyyy-mm-dd"/>
    <numFmt numFmtId="165" formatCode="#,##0.00\ &quot;€&quot;"/>
    <numFmt numFmtId="166" formatCode="0.0"/>
    <numFmt numFmtId="167" formatCode="yyyy-mm-dd h:mm:ss"/>
  </numFmts>
  <fonts count="16">
    <font>
      <name val="Calibri"/>
      <family val="2"/>
      <color theme="1"/>
      <sz val="11"/>
      <scheme val="minor"/>
    </font>
    <font>
      <b val="1"/>
      <color rgb="00FFFFFF"/>
      <sz val="16"/>
    </font>
    <font>
      <b val="1"/>
      <color rgb="001F3864"/>
      <sz val="12"/>
    </font>
    <font>
      <b val="1"/>
      <sz val="10"/>
    </font>
    <font>
      <i val="1"/>
      <color rgb="00606060"/>
      <sz val="9"/>
    </font>
    <font>
      <b val="1"/>
      <color rgb="007F6000"/>
      <sz val="10"/>
    </font>
    <font>
      <b val="1"/>
      <color rgb="00FFFFFF"/>
      <sz val="10"/>
    </font>
    <font>
      <b val="1"/>
      <sz val="11"/>
    </font>
    <font>
      <i val="1"/>
      <color rgb="007F6000"/>
      <sz val="9"/>
    </font>
    <font>
      <b val="1"/>
      <color rgb="009C0006"/>
      <sz val="9"/>
    </font>
    <font>
      <sz val="9"/>
    </font>
    <font>
      <name val="Consolas"/>
      <sz val="10"/>
    </font>
    <font>
      <name val="Consolas"/>
      <b val="1"/>
      <sz val="10"/>
    </font>
    <font>
      <b val="1"/>
      <color rgb="00375623"/>
      <sz val="9"/>
    </font>
    <font>
      <b val="1"/>
      <color rgb="007F6000"/>
      <sz val="9"/>
    </font>
    <font>
      <name val="Consolas"/>
      <b val="1"/>
      <sz val="9"/>
    </font>
  </fonts>
  <fills count="9">
    <fill>
      <patternFill/>
    </fill>
    <fill>
      <patternFill patternType="gray125"/>
    </fill>
    <fill>
      <patternFill patternType="solid">
        <fgColor rgb="001F3864"/>
      </patternFill>
    </fill>
    <fill>
      <patternFill patternType="solid">
        <fgColor rgb="00FFF9E6"/>
      </patternFill>
    </fill>
    <fill>
      <patternFill patternType="solid">
        <fgColor rgb="002E5C9A"/>
      </patternFill>
    </fill>
    <fill>
      <patternFill patternType="solid">
        <fgColor rgb="00EDF1F7"/>
      </patternFill>
    </fill>
    <fill>
      <patternFill patternType="solid">
        <fgColor rgb="00FFF2CC"/>
      </patternFill>
    </fill>
    <fill>
      <patternFill patternType="solid">
        <fgColor rgb="00FCE4E4"/>
      </patternFill>
    </fill>
    <fill>
      <patternFill patternType="solid">
        <fgColor rgb="00E2EFDA"/>
      </patternFill>
    </fill>
  </fills>
  <borders count="6">
    <border>
      <left/>
      <right/>
      <top/>
      <bottom/>
      <diagonal/>
    </border>
    <border>
      <left style="thin">
        <color rgb="00B8C4D9"/>
      </left>
      <right style="thin">
        <color rgb="00B8C4D9"/>
      </right>
      <top style="thin">
        <color rgb="00B8C4D9"/>
      </top>
      <bottom style="thin">
        <color rgb="00B8C4D9"/>
      </bottom>
    </border>
    <border>
      <left/>
      <right/>
      <top style="thin">
        <color rgb="00B8C4D9"/>
      </top>
      <bottom/>
      <diagonal/>
    </border>
    <border>
      <left/>
      <right style="thin">
        <color rgb="00B8C4D9"/>
      </right>
      <top style="thin">
        <color rgb="00B8C4D9"/>
      </top>
      <bottom/>
      <diagonal/>
    </border>
    <border>
      <left/>
      <right/>
      <top style="thin">
        <color rgb="00B8C4D9"/>
      </top>
      <bottom style="thin">
        <color rgb="00B8C4D9"/>
      </bottom>
      <diagonal/>
    </border>
    <border>
      <left/>
      <right style="thin">
        <color rgb="00B8C4D9"/>
      </right>
      <top style="thin">
        <color rgb="00B8C4D9"/>
      </top>
      <bottom style="thin">
        <color rgb="00B8C4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0" borderId="0" pivotButton="0" quotePrefix="0" xfId="0"/>
    <xf numFmtId="164" fontId="0" fillId="0" borderId="1" applyAlignment="1" pivotButton="0" quotePrefix="0" xfId="0">
      <alignment horizontal="center" vertical="center"/>
    </xf>
    <xf numFmtId="0" fontId="4" fillId="0" borderId="0" pivotButton="0" quotePrefix="0" xfId="0"/>
    <xf numFmtId="0" fontId="5" fillId="0" borderId="0" pivotButton="0" quotePrefix="0" xfId="0"/>
    <xf numFmtId="165" fontId="0" fillId="3" borderId="1" applyAlignment="1" pivotButton="0" quotePrefix="0" xfId="0">
      <alignment horizontal="center" vertical="center"/>
    </xf>
    <xf numFmtId="0" fontId="6" fillId="4"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vertical="center"/>
    </xf>
    <xf numFmtId="3" fontId="0" fillId="0" borderId="1" applyAlignment="1" pivotButton="0" quotePrefix="0" xfId="0">
      <alignment horizontal="right" vertical="center"/>
    </xf>
    <xf numFmtId="166" fontId="0" fillId="0" borderId="1" applyAlignment="1" pivotButton="0" quotePrefix="0" xfId="0">
      <alignment horizontal="center" vertical="center"/>
    </xf>
    <xf numFmtId="165" fontId="0" fillId="0" borderId="1" applyAlignment="1" pivotButton="0" quotePrefix="0" xfId="0">
      <alignment horizontal="right" vertical="center"/>
    </xf>
    <xf numFmtId="0" fontId="3" fillId="5" borderId="1" pivotButton="0" quotePrefix="0" xfId="0"/>
    <xf numFmtId="0" fontId="0" fillId="5" borderId="1" applyAlignment="1" pivotButton="0" quotePrefix="0" xfId="0">
      <alignment horizontal="center" vertical="center"/>
    </xf>
    <xf numFmtId="3" fontId="0" fillId="5" borderId="1" applyAlignment="1" pivotButton="0" quotePrefix="0" xfId="0">
      <alignment horizontal="right" vertical="center"/>
    </xf>
    <xf numFmtId="166" fontId="0" fillId="5" borderId="1" applyAlignment="1" pivotButton="0" quotePrefix="0" xfId="0">
      <alignment horizontal="center" vertical="center"/>
    </xf>
    <xf numFmtId="165" fontId="0" fillId="5" borderId="1" applyAlignment="1" pivotButton="0" quotePrefix="0" xfId="0">
      <alignment horizontal="right" vertical="center"/>
    </xf>
    <xf numFmtId="0" fontId="7" fillId="6" borderId="1" pivotButton="0" quotePrefix="0" xfId="0"/>
    <xf numFmtId="0" fontId="7" fillId="6" borderId="1" applyAlignment="1" pivotButton="0" quotePrefix="0" xfId="0">
      <alignment horizontal="center" vertical="center"/>
    </xf>
    <xf numFmtId="3" fontId="7" fillId="6" borderId="1" applyAlignment="1" pivotButton="0" quotePrefix="0" xfId="0">
      <alignment horizontal="right" vertical="center"/>
    </xf>
    <xf numFmtId="166" fontId="7" fillId="6" borderId="1" applyAlignment="1" pivotButton="0" quotePrefix="0" xfId="0">
      <alignment horizontal="center" vertical="center"/>
    </xf>
    <xf numFmtId="165" fontId="7" fillId="6" borderId="1" applyAlignment="1" pivotButton="0" quotePrefix="0" xfId="0">
      <alignment horizontal="right" vertical="center"/>
    </xf>
    <xf numFmtId="0" fontId="8" fillId="0" borderId="0" pivotButton="0" quotePrefix="0" xfId="0"/>
    <xf numFmtId="0" fontId="9" fillId="7" borderId="1" applyAlignment="1" pivotButton="0" quotePrefix="0" xfId="0">
      <alignment horizontal="center" vertical="center"/>
    </xf>
    <xf numFmtId="0" fontId="10" fillId="0" borderId="1" applyAlignment="1" pivotButton="0" quotePrefix="0" xfId="0">
      <alignment horizontal="left" vertical="center" wrapText="1"/>
    </xf>
    <xf numFmtId="166" fontId="0" fillId="3" borderId="1" applyAlignment="1" pivotButton="0" quotePrefix="0" xfId="0">
      <alignment horizontal="center" vertical="center"/>
    </xf>
    <xf numFmtId="0" fontId="0" fillId="0" borderId="1" applyAlignment="1" pivotButton="0" quotePrefix="0" xfId="0">
      <alignment horizontal="left" vertical="center" wrapText="1"/>
    </xf>
    <xf numFmtId="0" fontId="11" fillId="0" borderId="1" applyAlignment="1" pivotButton="0" quotePrefix="0" xfId="0">
      <alignment horizontal="center" vertical="center"/>
    </xf>
    <xf numFmtId="0" fontId="4" fillId="0" borderId="1" pivotButton="0" quotePrefix="0" xfId="0"/>
    <xf numFmtId="0" fontId="0" fillId="0" borderId="1" pivotButton="0" quotePrefix="0" xfId="0"/>
    <xf numFmtId="164"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5" borderId="1" pivotButton="0" quotePrefix="0" xfId="0"/>
    <xf numFmtId="0" fontId="7" fillId="0" borderId="0" applyAlignment="1" pivotButton="0" quotePrefix="0" xfId="0">
      <alignment horizontal="right" vertical="center"/>
    </xf>
    <xf numFmtId="0" fontId="12" fillId="0" borderId="1" applyAlignment="1" pivotButton="0" quotePrefix="0" xfId="0">
      <alignment horizontal="center" vertical="center"/>
    </xf>
    <xf numFmtId="0" fontId="13" fillId="8" borderId="1" applyAlignment="1" pivotButton="0" quotePrefix="0" xfId="0">
      <alignment horizontal="center" vertical="center"/>
    </xf>
    <xf numFmtId="0" fontId="14" fillId="6" borderId="1" applyAlignment="1" pivotButton="0" quotePrefix="0" xfId="0">
      <alignment horizontal="center" vertical="center"/>
    </xf>
    <xf numFmtId="0" fontId="0" fillId="5" borderId="0" pivotButton="0" quotePrefix="0" xfId="0"/>
    <xf numFmtId="0" fontId="7" fillId="5" borderId="0" applyAlignment="1" pivotButton="0" quotePrefix="0" xfId="0">
      <alignment horizontal="right" vertical="center"/>
    </xf>
    <xf numFmtId="3" fontId="7" fillId="5" borderId="1" applyAlignment="1" pivotButton="0" quotePrefix="0" xfId="0">
      <alignment horizontal="center" vertical="center"/>
    </xf>
    <xf numFmtId="3" fontId="7" fillId="5" borderId="1" applyAlignment="1" pivotButton="0" quotePrefix="0" xfId="0">
      <alignment horizontal="right" vertical="center"/>
    </xf>
    <xf numFmtId="166" fontId="7" fillId="5" borderId="1" applyAlignment="1" pivotButton="0" quotePrefix="0" xfId="0">
      <alignment horizontal="center" vertical="center"/>
    </xf>
    <xf numFmtId="165" fontId="7" fillId="5" borderId="1" applyAlignment="1" pivotButton="0" quotePrefix="0" xfId="0">
      <alignment horizontal="right" vertical="center"/>
    </xf>
    <xf numFmtId="0" fontId="4" fillId="0" borderId="1" applyAlignment="1" pivotButton="0" quotePrefix="0" xfId="0">
      <alignment horizontal="left" vertical="center" wrapText="1"/>
    </xf>
    <xf numFmtId="3" fontId="0" fillId="0" borderId="1" applyAlignment="1" pivotButton="0" quotePrefix="0" xfId="0">
      <alignment horizontal="center" vertical="center"/>
    </xf>
    <xf numFmtId="0" fontId="0" fillId="6" borderId="1" pivotButton="0" quotePrefix="0" xfId="0"/>
    <xf numFmtId="0" fontId="7" fillId="6" borderId="1" applyAlignment="1" pivotButton="0" quotePrefix="0" xfId="0">
      <alignment horizontal="right" vertical="center"/>
    </xf>
    <xf numFmtId="3" fontId="7" fillId="6" borderId="1" applyAlignment="1" pivotButton="0" quotePrefix="0" xfId="0">
      <alignment horizontal="center" vertical="center"/>
    </xf>
    <xf numFmtId="0" fontId="11" fillId="5" borderId="1" applyAlignment="1" pivotButton="0" quotePrefix="0" xfId="0">
      <alignment horizontal="center" vertical="center"/>
    </xf>
    <xf numFmtId="0" fontId="7" fillId="0" borderId="0" pivotButton="0" quotePrefix="0" xfId="0"/>
    <xf numFmtId="0" fontId="15" fillId="8" borderId="1" applyAlignment="1" pivotButton="0" quotePrefix="0" xfId="0">
      <alignment horizontal="center" vertical="center"/>
    </xf>
    <xf numFmtId="0" fontId="11" fillId="0" borderId="1" pivotButton="0" quotePrefix="0" xfId="0"/>
    <xf numFmtId="0" fontId="15" fillId="6"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4"/>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16" customWidth="1" min="3" max="3"/>
    <col width="16" customWidth="1" min="4" max="4"/>
    <col width="18" customWidth="1" min="5" max="5"/>
    <col width="14" customWidth="1" min="6" max="6"/>
    <col width="16" customWidth="1" min="7" max="7"/>
    <col width="40" customWidth="1" min="8" max="8"/>
  </cols>
  <sheetData>
    <row r="1" ht="30" customHeight="1">
      <c r="A1" s="1" t="inlineStr">
        <is>
          <t xml:space="preserve">  PROYECTO BODYCAM / AERIANEXUS — control de horas</t>
        </is>
      </c>
    </row>
    <row r="3">
      <c r="B3" s="2" t="inlineStr">
        <is>
          <t>Datos del proyecto</t>
        </is>
      </c>
    </row>
    <row r="4">
      <c r="B4" s="3" t="inlineStr">
        <is>
          <t>Inicio del proyecto</t>
        </is>
      </c>
      <c r="C4" s="4" t="n">
        <v>46135</v>
      </c>
      <c r="D4" s="5" t="inlineStr">
        <is>
          <t>primer commit de BodyCamServer</t>
        </is>
      </c>
    </row>
    <row r="5">
      <c r="B5" s="3" t="inlineStr">
        <is>
          <t>Último pago recibido</t>
        </is>
      </c>
      <c r="C5" s="4" t="n">
        <v>46227</v>
      </c>
      <c r="D5" s="5" t="inlineStr">
        <is>
          <t>cubre hasta la entrega #3 (2026-07-22)</t>
        </is>
      </c>
    </row>
    <row r="6">
      <c r="B6" s="3" t="inlineStr">
        <is>
          <t>Última entrega</t>
        </is>
      </c>
      <c r="C6" s="4" t="n">
        <v>46243</v>
      </c>
      <c r="D6" s="5" t="inlineStr">
        <is>
          <t>BodyCamServer · d4a4709</t>
        </is>
      </c>
    </row>
    <row r="7">
      <c r="B7" s="3" t="inlineStr">
        <is>
          <t>Fecha de este informe</t>
        </is>
      </c>
      <c r="C7" s="4" t="n">
        <v>46259</v>
      </c>
      <c r="D7" s="5" t="inlineStr">
        <is>
          <t>32 dias desde el pago</t>
        </is>
      </c>
    </row>
    <row r="9">
      <c r="B9" s="6" t="inlineStr">
        <is>
          <t>Tarifa por hora (rellenar)</t>
        </is>
      </c>
      <c r="C9" s="7" t="n">
        <v>20</v>
      </c>
      <c r="D9" s="5" t="inlineStr">
        <is>
          <t>← escribe aquí tu tarifa; los importes se calculan solos</t>
        </is>
      </c>
    </row>
    <row r="11">
      <c r="B11" s="2" t="inlineStr">
        <is>
          <t>PENDIENTE DE FACTURAR — desde el pago del 2026-07-24</t>
        </is>
      </c>
    </row>
    <row r="12" ht="28" customHeight="1">
      <c r="B12" s="8" t="inlineStr">
        <is>
          <t>Aplicación</t>
        </is>
      </c>
      <c r="C12" s="8" t="inlineStr">
        <is>
          <t>Bloques</t>
        </is>
      </c>
      <c r="D12" s="8" t="inlineStr">
        <is>
          <t>Días activ.</t>
        </is>
      </c>
      <c r="E12" s="8" t="inlineStr">
        <is>
          <t>Líneas código</t>
        </is>
      </c>
      <c r="F12" s="8" t="inlineStr">
        <is>
          <t>Horas</t>
        </is>
      </c>
      <c r="G12" s="8" t="inlineStr">
        <is>
          <t>Importe</t>
        </is>
      </c>
    </row>
    <row r="13">
      <c r="B13" s="9" t="inlineStr">
        <is>
          <t>BodyCamServer</t>
        </is>
      </c>
      <c r="C13" s="10" t="inlineStr">
        <is>
          <t>BC-1, BC-2, BC-3, BC-4, BC-5, ADM</t>
        </is>
      </c>
      <c r="D13" s="10" t="n">
        <v>6</v>
      </c>
      <c r="E13" s="11" t="n">
        <v>6860</v>
      </c>
      <c r="F13" s="12">
        <f>SUMIFS(Sesiones!$D:$D,Sesiones!$B:$B,"BC",Sesiones!$A:$A,"&gt;="&amp;DATE(2026,7,24))</f>
        <v/>
      </c>
      <c r="G13" s="13">
        <f>F13*Resumen!$C$9</f>
        <v/>
      </c>
    </row>
    <row r="14">
      <c r="B14" s="14" t="inlineStr">
        <is>
          <t>AeriaNexusPrototype</t>
        </is>
      </c>
      <c r="C14" s="15" t="inlineStr">
        <is>
          <t>AN-1</t>
        </is>
      </c>
      <c r="D14" s="15" t="n">
        <v>1</v>
      </c>
      <c r="E14" s="16" t="n">
        <v>799</v>
      </c>
      <c r="F14" s="17">
        <f>SUMIFS(Sesiones!$D:$D,Sesiones!$B:$B,"AN",Sesiones!$A:$A,"&gt;="&amp;DATE(2026,7,24))</f>
        <v/>
      </c>
      <c r="G14" s="18">
        <f>F14*Resumen!$C$9</f>
        <v/>
      </c>
    </row>
    <row r="15">
      <c r="B15" s="19" t="inlineStr">
        <is>
          <t>TOTAL PROYECTO</t>
        </is>
      </c>
      <c r="C15" s="20" t="n">
        <v>6</v>
      </c>
      <c r="D15" s="20">
        <f>SUM(D13:D14)</f>
        <v/>
      </c>
      <c r="E15" s="21">
        <f>SUM(E13:E14)</f>
        <v/>
      </c>
      <c r="F15" s="22">
        <f>SUM(F13:F14)</f>
        <v/>
      </c>
      <c r="G15" s="23">
        <f>SUM(G13:G14)</f>
        <v/>
      </c>
    </row>
    <row r="17" ht="28" customHeight="1">
      <c r="B17" s="24" t="inlineStr">
        <is>
          <t>Horas del 09 y 14 de agosto reconstruidas a posteriori (6,0 h cada una). Del 15 de agosto en adelante registradas en tiempo real. El 25 de agosto es el primer dia desde el pago con trabajo en las DOS aplicaciones. Total pendiente de facturar: 26,7 h = 534 EUR.</t>
        </is>
      </c>
    </row>
    <row r="19">
      <c r="B19" s="2" t="inlineStr">
        <is>
          <t>ACUMULADO TOTAL DEL PROYECTO (todo el histórico)</t>
        </is>
      </c>
    </row>
    <row r="20" ht="28" customHeight="1">
      <c r="B20" s="8" t="inlineStr">
        <is>
          <t>Aplicación</t>
        </is>
      </c>
      <c r="C20" s="8" t="inlineStr">
        <is>
          <t>Horas registradas</t>
        </is>
      </c>
      <c r="D20" s="8" t="inlineStr">
        <is>
          <t>Importe</t>
        </is>
      </c>
    </row>
    <row r="21">
      <c r="B21" s="9" t="inlineStr">
        <is>
          <t>BodyCamServer</t>
        </is>
      </c>
      <c r="C21" s="12">
        <f>SUMIF(Sesiones!$B:$B,"BC",Sesiones!$D:$D)</f>
        <v/>
      </c>
      <c r="D21" s="13">
        <f>C21*Resumen!$C$9</f>
        <v/>
      </c>
    </row>
    <row r="22">
      <c r="B22" s="14" t="inlineStr">
        <is>
          <t>AeriaNexusPrototype</t>
        </is>
      </c>
      <c r="C22" s="17">
        <f>SUMIF(Sesiones!$B:$B,"AN",Sesiones!$D:$D)</f>
        <v/>
      </c>
      <c r="D22" s="18">
        <f>C22*Resumen!$C$9</f>
        <v/>
      </c>
    </row>
    <row r="23">
      <c r="B23" s="19" t="inlineStr">
        <is>
          <t>TOTAL</t>
        </is>
      </c>
      <c r="C23" s="22">
        <f>SUM(C21:C22)</f>
        <v/>
      </c>
      <c r="D23" s="23">
        <f>SUM(D21:D22)</f>
        <v/>
      </c>
    </row>
    <row r="25">
      <c r="B25" s="2" t="inlineStr">
        <is>
          <t>AVISOS</t>
        </is>
      </c>
    </row>
    <row r="26" ht="30" customHeight="1">
      <c r="B26" s="25" t="inlineStr">
        <is>
          <t>OK - RESUELTO</t>
        </is>
      </c>
      <c r="C26" s="26" t="inlineStr">
        <is>
          <t>El conflicto BC-2/CameraController quedo resuelto en el merge: CameraController y RecorderWatch eliminados (sin llamantes).</t>
        </is>
      </c>
      <c r="D26" s="55" t="n"/>
      <c r="E26" s="55" t="n"/>
      <c r="F26" s="55" t="n"/>
      <c r="G26" s="55" t="n"/>
      <c r="H26" s="56" t="n"/>
    </row>
    <row r="27" ht="30" customHeight="1">
      <c r="B27" s="25" t="inlineStr">
        <is>
          <t>OK - DIVERGENCIA CERRADA</t>
        </is>
      </c>
      <c r="C27" s="26" t="inlineStr">
        <is>
          <t>Merge 06008b2 (2026-08-23): develop contiene todo main y es la rama principal. Grabacion continua con pre-roll de 20 s validada en la unidad fisica.</t>
        </is>
      </c>
      <c r="D27" s="55" t="n"/>
      <c r="E27" s="55" t="n"/>
      <c r="F27" s="55" t="n"/>
      <c r="G27" s="55" t="n"/>
      <c r="H27" s="56" t="n"/>
    </row>
    <row r="28" ht="30" customHeight="1">
      <c r="B28" s="25" t="inlineStr">
        <is>
          <t>ℹ NATURALEZA</t>
        </is>
      </c>
      <c r="C28" s="26" t="inlineStr">
        <is>
          <t>BC-2 es medicion previa al cifrado, no una funcionalidad terminada; convendria facturarlo como investigacion. La funcionalidad si esta terminada en BC-5 (25-ago): la evidencia sale cifrada y hasheada de la unidad, validado en hardware. BLOQUEADO por decision del manager: custodia de la clave. Hasta que llegue la publica de Nexus la subida envia el MP4 en claro a proposito, porque el servidor no podria abrir un .fev cifrado solo para el Keystore de la unidad.</t>
        </is>
      </c>
      <c r="D28" s="55" t="n"/>
      <c r="E28" s="55" t="n"/>
      <c r="F28" s="55" t="n"/>
      <c r="G28" s="55" t="n"/>
      <c r="H28" s="56" t="n"/>
    </row>
    <row r="30">
      <c r="B30" s="2" t="inlineStr">
        <is>
          <t>OBJETIVO DE FACTURACION — cierre de septiembre 2026</t>
        </is>
      </c>
    </row>
    <row r="31">
      <c r="B31" t="inlineStr">
        <is>
          <t>Registrado a 2026-08-25</t>
        </is>
      </c>
      <c r="C31">
        <f>Resumen!C23</f>
        <v/>
      </c>
      <c r="D31">
        <f>C31*Resumen!$C$9</f>
        <v/>
      </c>
    </row>
    <row r="32">
      <c r="B32" t="inlineStr">
        <is>
          <t>Objetivo minimo (horas / importe)</t>
        </is>
      </c>
      <c r="C32" t="n">
        <v>100</v>
      </c>
      <c r="D32">
        <f>C32*Resumen!$C$9</f>
        <v/>
      </c>
    </row>
    <row r="33">
      <c r="B33" t="inlineStr">
        <is>
          <t>Pendiente de generar</t>
        </is>
      </c>
      <c r="C33">
        <f>C32-C31</f>
        <v/>
      </c>
      <c r="D33">
        <f>C33*Resumen!$C$9</f>
        <v/>
      </c>
    </row>
    <row r="34">
      <c r="B34" t="inlineStr">
        <is>
          <t>A 30 h/semana las 73,3 h restantes se cubren en ~2,4 semanas: el umbral de 2000 EUR se cruza alrededor del viernes 11 de septiembre de 2026. La ventana 25-ago -&gt; 30-sep (5 semanas + 1 dia) da capacidad para ~154 h = hasta ~181 h acumuladas = ~3614 EUR.</t>
        </is>
      </c>
    </row>
  </sheetData>
  <mergeCells count="5">
    <mergeCell ref="A1:H1"/>
    <mergeCell ref="B17:H17"/>
    <mergeCell ref="C28:H28"/>
    <mergeCell ref="C27:H27"/>
    <mergeCell ref="C26:H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8"/>
  <sheetViews>
    <sheetView showGridLines="0" workbookViewId="0">
      <pane ySplit="3" topLeftCell="A4" activePane="bottomLeft" state="frozen"/>
      <selection pane="bottomLeft" activeCell="A1" sqref="A1"/>
    </sheetView>
  </sheetViews>
  <sheetFormatPr baseColWidth="8" defaultRowHeight="15"/>
  <cols>
    <col width="13" customWidth="1" min="1" max="1"/>
    <col width="8" customWidth="1" min="2" max="2"/>
    <col width="11" customWidth="1" min="3" max="3"/>
    <col width="9" customWidth="1" min="4" max="4"/>
    <col width="62" customWidth="1" min="5" max="5"/>
    <col width="16" customWidth="1" min="6" max="6"/>
    <col width="14" customWidth="1" min="7" max="7"/>
    <col width="22" customWidth="1" min="8" max="8"/>
  </cols>
  <sheetData>
    <row r="1" ht="30" customHeight="1">
      <c r="A1" s="1" t="inlineStr">
        <is>
          <t xml:space="preserve">  SESIONES DE TRABAJO — rellena una fila por sesión</t>
        </is>
      </c>
    </row>
    <row r="2">
      <c r="A2" s="5" t="inlineStr">
        <is>
          <t>Una hora siempre se imputa a UNA app y a UN bloque. Si una sesión toca las dos apps, pártela en dos filas: si no, los subtotales por aplicación dejan de cuadrar.</t>
        </is>
      </c>
    </row>
    <row r="3" ht="28" customHeight="1">
      <c r="A3" s="8" t="inlineStr">
        <is>
          <t>Fecha</t>
        </is>
      </c>
      <c r="B3" s="8" t="inlineStr">
        <is>
          <t>App</t>
        </is>
      </c>
      <c r="C3" s="8" t="inlineStr">
        <is>
          <t>Bloque</t>
        </is>
      </c>
      <c r="D3" s="8" t="inlineStr">
        <is>
          <t>Horas</t>
        </is>
      </c>
      <c r="E3" s="8" t="inlineStr">
        <is>
          <t>Qué se hizo</t>
        </is>
      </c>
      <c r="F3" s="8" t="inlineStr">
        <is>
          <t>Commit(s)</t>
        </is>
      </c>
      <c r="G3" s="8" t="inlineStr">
        <is>
          <t>Facturado</t>
        </is>
      </c>
      <c r="H3" s="8" t="inlineStr">
        <is>
          <t>Origen del dato</t>
        </is>
      </c>
    </row>
    <row r="4" ht="46" customHeight="1">
      <c r="A4" s="4" t="n">
        <v>46243</v>
      </c>
      <c r="B4" s="10" t="inlineStr">
        <is>
          <t>BC</t>
        </is>
      </c>
      <c r="C4" s="10" t="inlineStr">
        <is>
          <t>BC-1</t>
        </is>
      </c>
      <c r="D4" s="27" t="n">
        <v>6</v>
      </c>
      <c r="E4" s="28" t="inlineStr">
        <is>
          <t>Grabación continua: EvidenceStore (buffer en anillo, pre-roll 120 s, segmentos 8 MB), reescritura de RecordingActivity, retirada de CameraController</t>
        </is>
      </c>
      <c r="F4" s="29" t="inlineStr">
        <is>
          <t>d4a4709</t>
        </is>
      </c>
      <c r="G4" s="10" t="inlineStr">
        <is>
          <t>No</t>
        </is>
      </c>
      <c r="H4" s="30" t="inlineStr">
        <is>
          <t>Reconstruido de git</t>
        </is>
      </c>
    </row>
    <row r="5" ht="46" customHeight="1">
      <c r="A5" s="4" t="n">
        <v>46248</v>
      </c>
      <c r="B5" s="10" t="inlineStr">
        <is>
          <t>BC</t>
        </is>
      </c>
      <c r="C5" s="10" t="inlineStr">
        <is>
          <t>BC-2</t>
        </is>
      </c>
      <c r="D5" s="27" t="n">
        <v>6</v>
      </c>
      <c r="E5" s="28" t="inlineStr">
        <is>
          <t>Cifrado (medicion): CryptoBenchmark (SHA-256 + AES-256-GCM por bloques), RecorderWatch (watchdog de grabaciones largas), endpoint /benchmark, fix de path traversal, 2 scripts Python, testing con videos reales</t>
        </is>
      </c>
      <c r="F5" s="29" t="inlineStr">
        <is>
          <t>sin commitear</t>
        </is>
      </c>
      <c r="G5" s="10" t="inlineStr">
        <is>
          <t>No</t>
        </is>
      </c>
      <c r="H5" s="30" t="inlineStr">
        <is>
          <t>Marcas de tiempo 15:47–22:56</t>
        </is>
      </c>
    </row>
    <row r="6" ht="46" customHeight="1">
      <c r="A6" s="4" t="n">
        <v>46249</v>
      </c>
      <c r="B6" s="10" t="inlineStr">
        <is>
          <t>BC</t>
        </is>
      </c>
      <c r="C6" s="10" t="n"/>
      <c r="D6" s="27" t="n">
        <v>0</v>
      </c>
      <c r="E6" s="28" t="inlineStr">
        <is>
          <t>Alta del sistema de seguimiento de horas (cubre las dos apps)</t>
        </is>
      </c>
      <c r="F6" s="29" t="inlineStr">
        <is>
          <t>pendiente</t>
        </is>
      </c>
      <c r="G6" s="10" t="inlineStr">
        <is>
          <t>No</t>
        </is>
      </c>
      <c r="H6" s="30" t="inlineStr">
        <is>
          <t>Registrado</t>
        </is>
      </c>
    </row>
    <row r="7" ht="46" customHeight="1">
      <c r="A7" s="4" t="n">
        <v>46249</v>
      </c>
      <c r="B7" s="10" t="inlineStr">
        <is>
          <t>BC</t>
        </is>
      </c>
      <c r="C7" s="10" t="inlineStr">
        <is>
          <t>BC-3</t>
        </is>
      </c>
      <c r="D7" s="27" t="n">
        <v>0</v>
      </c>
      <c r="E7" s="28" t="inlineStr">
        <is>
          <t>Pantalla en reposo al grabar + cronometro en RecordingActivity. Compilado y desplegado en la unidad</t>
        </is>
      </c>
      <c r="F7" s="29" t="inlineStr">
        <is>
          <t>sin commitear</t>
        </is>
      </c>
      <c r="G7" s="10" t="inlineStr">
        <is>
          <t>No</t>
        </is>
      </c>
      <c r="H7" s="30" t="inlineStr">
        <is>
          <t>Horas imputadas en la sesion del 2026-08-16 (bloque BC-1)</t>
        </is>
      </c>
    </row>
    <row r="8" ht="46" customHeight="1">
      <c r="A8" s="32" t="n">
        <v>46249</v>
      </c>
      <c r="B8" s="15" t="inlineStr">
        <is>
          <t>BC</t>
        </is>
      </c>
      <c r="C8" s="15" t="inlineStr">
        <is>
          <t>BC-2</t>
        </is>
      </c>
      <c r="D8" s="27" t="n">
        <v>3</v>
      </c>
      <c r="E8" s="33" t="inlineStr">
        <is>
          <t>Cifrado (medicion): CryptoBenchmark (SHA-256 + AES-256-GCM por bloques) CONTINUACION</t>
        </is>
      </c>
      <c r="F8" s="50" t="inlineStr">
        <is>
          <t>sin commitear</t>
        </is>
      </c>
      <c r="G8" s="15" t="inlineStr">
        <is>
          <t>No</t>
        </is>
      </c>
      <c r="H8" s="57" t="inlineStr">
        <is>
          <t>Registrado</t>
        </is>
      </c>
    </row>
    <row r="9">
      <c r="A9" s="32" t="n">
        <v>46250</v>
      </c>
      <c r="B9" s="15" t="inlineStr">
        <is>
          <t>BC</t>
        </is>
      </c>
      <c r="C9" s="15" t="inlineStr">
        <is>
          <t>BC-1</t>
        </is>
      </c>
      <c r="D9" s="27" t="n">
        <v>2</v>
      </c>
      <c r="E9" s="33" t="inlineStr">
        <is>
          <t>Funcionalidad Subir a servidor yes/no, visualizacion de tiempo de grabacion</t>
        </is>
      </c>
      <c r="F9" s="50" t="inlineStr">
        <is>
          <t>sin commitear</t>
        </is>
      </c>
      <c r="G9" s="15" t="inlineStr">
        <is>
          <t>No</t>
        </is>
      </c>
      <c r="H9" s="57" t="inlineStr">
        <is>
          <t>Registrado</t>
        </is>
      </c>
    </row>
    <row r="10">
      <c r="A10" s="32" t="n">
        <v>46250</v>
      </c>
      <c r="B10" s="15" t="inlineStr">
        <is>
          <t>BC</t>
        </is>
      </c>
      <c r="C10" s="15" t="n"/>
      <c r="D10" s="27" t="n">
        <v>2</v>
      </c>
      <c r="E10" s="33" t="inlineStr">
        <is>
          <t>Reuniones semana del 17 agosto al 21</t>
        </is>
      </c>
      <c r="F10" s="50" t="n"/>
      <c r="G10" s="15" t="inlineStr">
        <is>
          <t>No</t>
        </is>
      </c>
      <c r="H10" s="57" t="inlineStr">
        <is>
          <t>Registrado</t>
        </is>
      </c>
    </row>
    <row r="11">
      <c r="A11" s="32" t="n">
        <v>46257</v>
      </c>
      <c r="B11" s="15" t="inlineStr">
        <is>
          <t>BC</t>
        </is>
      </c>
      <c r="C11" s="15" t="n"/>
      <c r="D11" s="27" t="n">
        <v>0.4</v>
      </c>
      <c r="E11" s="33" t="inlineStr">
        <is>
          <t>Analisis del Security Feature List (34 features: 15 viables sin backend, 12 parciales, 7 bloqueadas), ruta de desarrollo hasta fin de septiembre y actualizacion del seguimiento</t>
        </is>
      </c>
      <c r="F11" s="50" t="inlineStr">
        <is>
          <t>db04e55</t>
        </is>
      </c>
      <c r="G11" s="15" t="inlineStr">
        <is>
          <t>No</t>
        </is>
      </c>
      <c r="H11" s="57" t="inlineStr">
        <is>
          <t>Marcas de tiempo 15:52-16:16</t>
        </is>
      </c>
    </row>
    <row r="12">
      <c r="A12" s="32" t="n">
        <v>46257</v>
      </c>
      <c r="B12" s="15" t="inlineStr">
        <is>
          <t>BC</t>
        </is>
      </c>
      <c r="C12" s="15" t="inlineStr">
        <is>
          <t>BC-4</t>
        </is>
      </c>
      <c r="D12" s="27" t="n">
        <v>1.8</v>
      </c>
      <c r="E12" s="33"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50" t="inlineStr">
        <is>
          <t>db04e55, a599da9</t>
        </is>
      </c>
      <c r="G12" s="15" t="inlineStr">
        <is>
          <t>No</t>
        </is>
      </c>
      <c r="H12" s="57" t="inlineStr">
        <is>
          <t>Marcas de tiempo 16:16-18:04</t>
        </is>
      </c>
    </row>
    <row r="13">
      <c r="A13" s="32" t="n">
        <v>46257</v>
      </c>
      <c r="B13" s="15" t="inlineStr">
        <is>
          <t>BC</t>
        </is>
      </c>
      <c r="C13" s="15" t="inlineStr">
        <is>
          <t>BC-1</t>
        </is>
      </c>
      <c r="D13" s="27" t="n">
        <v>1</v>
      </c>
      <c r="E13" s="33"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50" t="inlineStr">
        <is>
          <t>06008b2, 56d5478, 99b42a6, f2e7e52</t>
        </is>
      </c>
      <c r="G13" s="15" t="inlineStr">
        <is>
          <t>No</t>
        </is>
      </c>
      <c r="H13" s="57" t="inlineStr">
        <is>
          <t>Marcas de tiempo 18:04-19:06</t>
        </is>
      </c>
    </row>
    <row r="14">
      <c r="A14" s="32" t="n">
        <v>46257</v>
      </c>
      <c r="B14" s="15" t="inlineStr">
        <is>
          <t>BC</t>
        </is>
      </c>
      <c r="C14" s="15" t="inlineStr">
        <is>
          <t>BC-1</t>
        </is>
      </c>
      <c r="D14" s="27" t="n">
        <v>2</v>
      </c>
      <c r="E14" s="33"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50" t="inlineStr">
        <is>
          <t>671cab7, 48892dd, b00332f, 4373116, a25c0c7</t>
        </is>
      </c>
      <c r="G14" s="15" t="inlineStr">
        <is>
          <t>No</t>
        </is>
      </c>
      <c r="H14" s="57" t="inlineStr">
        <is>
          <t>Marcas de tiempo 19:06-21:05</t>
        </is>
      </c>
    </row>
    <row r="15">
      <c r="A15" s="32" t="n">
        <v>46259</v>
      </c>
      <c r="B15" s="15" t="inlineStr">
        <is>
          <t>BC</t>
        </is>
      </c>
      <c r="C15" s="15" t="inlineStr">
        <is>
          <t>BC-5</t>
        </is>
      </c>
      <c r="D15" s="27" t="n">
        <v>2</v>
      </c>
      <c r="E15" s="33"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50" t="inlineStr">
        <is>
          <t>81f0995</t>
        </is>
      </c>
      <c r="G15" s="15" t="inlineStr">
        <is>
          <t>No</t>
        </is>
      </c>
      <c r="H15" s="57" t="inlineStr">
        <is>
          <t>Marcas de tiempo 12:30-15:00</t>
        </is>
      </c>
    </row>
    <row r="16">
      <c r="A16" s="32" t="n">
        <v>46259</v>
      </c>
      <c r="B16" s="15" t="inlineStr">
        <is>
          <t>AN</t>
        </is>
      </c>
      <c r="C16" s="15" t="inlineStr">
        <is>
          <t>AN-1</t>
        </is>
      </c>
      <c r="D16" s="27" t="n">
        <v>0.5</v>
      </c>
      <c r="E16" s="33"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50" t="inlineStr">
        <is>
          <t>sin commitear</t>
        </is>
      </c>
      <c r="G16" s="15" t="inlineStr">
        <is>
          <t>No</t>
        </is>
      </c>
      <c r="H16" s="57" t="inlineStr">
        <is>
          <t>Marcas de tiempo 12:43-12:58</t>
        </is>
      </c>
    </row>
    <row r="17">
      <c r="A17" s="4" t="n"/>
      <c r="B17" s="10" t="n"/>
      <c r="C17" s="10" t="n"/>
      <c r="D17" s="27" t="n"/>
      <c r="E17" s="28" t="n"/>
      <c r="F17" s="31" t="n"/>
      <c r="G17" s="31" t="n"/>
      <c r="H17" s="31" t="n"/>
    </row>
    <row r="18">
      <c r="A18" s="32" t="n"/>
      <c r="B18" s="15" t="n"/>
      <c r="C18" s="15" t="n"/>
      <c r="D18" s="27" t="n"/>
      <c r="E18" s="33" t="n"/>
      <c r="F18" s="34" t="n"/>
      <c r="G18" s="34" t="n"/>
      <c r="H18" s="34" t="n"/>
    </row>
    <row r="19">
      <c r="A19" s="4" t="n"/>
      <c r="B19" s="10" t="n"/>
      <c r="C19" s="10" t="n"/>
      <c r="D19" s="27" t="n"/>
      <c r="E19" s="28" t="n"/>
      <c r="F19" s="31" t="n"/>
      <c r="G19" s="31" t="n"/>
      <c r="H19" s="31" t="n"/>
    </row>
    <row r="20">
      <c r="A20" s="32" t="n"/>
      <c r="B20" s="15" t="n"/>
      <c r="C20" s="15" t="n"/>
      <c r="D20" s="27" t="n"/>
      <c r="E20" s="33" t="n"/>
      <c r="F20" s="34" t="n"/>
      <c r="G20" s="34" t="n"/>
      <c r="H20" s="34" t="n"/>
    </row>
    <row r="21">
      <c r="A21" s="4" t="n"/>
      <c r="B21" s="10" t="n"/>
      <c r="C21" s="10" t="n"/>
      <c r="D21" s="27" t="n"/>
      <c r="E21" s="28" t="n"/>
      <c r="F21" s="31" t="n"/>
      <c r="G21" s="31" t="n"/>
      <c r="H21" s="31" t="n"/>
    </row>
    <row r="22">
      <c r="A22" s="32" t="n"/>
      <c r="B22" s="15" t="n"/>
      <c r="C22" s="15" t="n"/>
      <c r="D22" s="27" t="n"/>
      <c r="E22" s="33" t="n"/>
      <c r="F22" s="34" t="n"/>
      <c r="G22" s="34" t="n"/>
      <c r="H22" s="34" t="n"/>
    </row>
    <row r="23">
      <c r="A23" s="4" t="n"/>
      <c r="B23" s="10" t="n"/>
      <c r="C23" s="10" t="n"/>
      <c r="D23" s="27" t="n"/>
      <c r="E23" s="28" t="n"/>
      <c r="F23" s="31" t="n"/>
      <c r="G23" s="31" t="n"/>
      <c r="H23" s="31" t="n"/>
    </row>
    <row r="24">
      <c r="A24" s="32" t="n"/>
      <c r="B24" s="15" t="n"/>
      <c r="C24" s="15" t="n"/>
      <c r="D24" s="27" t="n"/>
      <c r="E24" s="33" t="n"/>
      <c r="F24" s="34" t="n"/>
      <c r="G24" s="34" t="n"/>
      <c r="H24" s="34" t="n"/>
    </row>
    <row r="25">
      <c r="A25" s="4" t="n"/>
      <c r="B25" s="10" t="n"/>
      <c r="C25" s="10" t="n"/>
      <c r="D25" s="27" t="n"/>
      <c r="E25" s="28" t="n"/>
      <c r="F25" s="31" t="n"/>
      <c r="G25" s="31" t="n"/>
      <c r="H25" s="31" t="n"/>
    </row>
    <row r="26">
      <c r="A26" s="32" t="n"/>
      <c r="B26" s="15" t="n"/>
      <c r="C26" s="15" t="n"/>
      <c r="D26" s="27" t="n"/>
      <c r="E26" s="33" t="n"/>
      <c r="F26" s="34" t="n"/>
      <c r="G26" s="34" t="n"/>
      <c r="H26" s="34" t="n"/>
    </row>
    <row r="27">
      <c r="A27" s="4" t="n"/>
      <c r="B27" s="10" t="n"/>
      <c r="C27" s="10" t="n"/>
      <c r="D27" s="27" t="n"/>
      <c r="E27" s="28" t="n"/>
      <c r="F27" s="31" t="n"/>
      <c r="G27" s="31" t="n"/>
      <c r="H27" s="31" t="n"/>
    </row>
    <row r="28">
      <c r="A28" s="32" t="n"/>
      <c r="B28" s="15" t="n"/>
      <c r="C28" s="15" t="n"/>
      <c r="D28" s="27" t="n"/>
      <c r="E28" s="33" t="n"/>
      <c r="F28" s="34" t="n"/>
      <c r="G28" s="34" t="n"/>
      <c r="H28" s="34" t="n"/>
    </row>
    <row r="29">
      <c r="A29" s="4" t="n"/>
      <c r="B29" s="10" t="n"/>
      <c r="C29" s="10" t="n"/>
      <c r="D29" s="27" t="n"/>
      <c r="E29" s="28" t="n"/>
      <c r="F29" s="31" t="n"/>
      <c r="G29" s="31" t="n"/>
      <c r="H29" s="31" t="n"/>
    </row>
    <row r="30">
      <c r="A30" s="32" t="n"/>
      <c r="B30" s="15" t="n"/>
      <c r="C30" s="15" t="n"/>
      <c r="D30" s="27" t="n"/>
      <c r="E30" s="33" t="n"/>
      <c r="F30" s="34" t="n"/>
      <c r="G30" s="34" t="n"/>
      <c r="H30" s="34" t="n"/>
    </row>
    <row r="31">
      <c r="A31" s="4" t="n"/>
      <c r="B31" s="10" t="n"/>
      <c r="C31" s="10" t="n"/>
      <c r="D31" s="27" t="n"/>
      <c r="E31" s="28" t="n"/>
      <c r="F31" s="31" t="n"/>
      <c r="G31" s="31" t="n"/>
      <c r="H31" s="31" t="n"/>
    </row>
    <row r="32">
      <c r="A32" s="32" t="n"/>
      <c r="B32" s="15" t="n"/>
      <c r="C32" s="15" t="n"/>
      <c r="D32" s="27" t="n"/>
      <c r="E32" s="33" t="n"/>
      <c r="F32" s="34" t="n"/>
      <c r="G32" s="34" t="n"/>
      <c r="H32" s="34" t="n"/>
    </row>
    <row r="33">
      <c r="A33" s="4" t="n"/>
      <c r="B33" s="10" t="n"/>
      <c r="C33" s="10" t="n"/>
      <c r="D33" s="27" t="n"/>
      <c r="E33" s="28" t="n"/>
      <c r="F33" s="31" t="n"/>
      <c r="G33" s="31" t="n"/>
      <c r="H33" s="31" t="n"/>
    </row>
    <row r="34">
      <c r="A34" s="32" t="n"/>
      <c r="B34" s="15" t="n"/>
      <c r="C34" s="15" t="n"/>
      <c r="D34" s="27" t="n"/>
      <c r="E34" s="33" t="n"/>
      <c r="F34" s="34" t="n"/>
      <c r="G34" s="34" t="n"/>
      <c r="H34" s="34" t="n"/>
    </row>
    <row r="35">
      <c r="A35" s="4" t="n"/>
      <c r="B35" s="10" t="n"/>
      <c r="C35" s="10" t="n"/>
      <c r="D35" s="27" t="n"/>
      <c r="E35" s="28" t="n"/>
      <c r="F35" s="31" t="n"/>
      <c r="G35" s="31" t="n"/>
      <c r="H35" s="31" t="n"/>
    </row>
    <row r="36">
      <c r="A36" s="32" t="n"/>
      <c r="B36" s="15" t="n"/>
      <c r="C36" s="15" t="n"/>
      <c r="D36" s="27" t="n"/>
      <c r="E36" s="33" t="n"/>
      <c r="F36" s="34" t="n"/>
      <c r="G36" s="34" t="n"/>
      <c r="H36" s="34" t="n"/>
    </row>
    <row r="37">
      <c r="A37" s="4" t="n"/>
      <c r="B37" s="10" t="n"/>
      <c r="C37" s="10" t="n"/>
      <c r="D37" s="27" t="n"/>
      <c r="E37" s="28" t="n"/>
      <c r="F37" s="31" t="n"/>
      <c r="G37" s="31" t="n"/>
      <c r="H37" s="31" t="n"/>
    </row>
    <row r="38">
      <c r="A38" s="32" t="n"/>
      <c r="B38" s="15" t="n"/>
      <c r="C38" s="15" t="n"/>
      <c r="D38" s="27" t="n"/>
      <c r="E38" s="33" t="n"/>
      <c r="F38" s="34" t="n"/>
      <c r="G38" s="34" t="n"/>
      <c r="H38" s="34" t="n"/>
    </row>
    <row r="39">
      <c r="A39" s="4" t="n"/>
      <c r="B39" s="10" t="n"/>
      <c r="C39" s="10" t="n"/>
      <c r="D39" s="27" t="n"/>
      <c r="E39" s="28" t="n"/>
      <c r="F39" s="31" t="n"/>
      <c r="G39" s="31" t="n"/>
      <c r="H39" s="31" t="n"/>
    </row>
    <row r="40">
      <c r="A40" s="32" t="n"/>
      <c r="B40" s="15" t="n"/>
      <c r="C40" s="15" t="n"/>
      <c r="D40" s="27" t="n"/>
      <c r="E40" s="33" t="n"/>
      <c r="F40" s="34" t="n"/>
      <c r="G40" s="34" t="n"/>
      <c r="H40" s="34" t="n"/>
    </row>
    <row r="41">
      <c r="A41" s="4" t="n"/>
      <c r="B41" s="10" t="n"/>
      <c r="C41" s="10" t="n"/>
      <c r="D41" s="27" t="n"/>
      <c r="E41" s="28" t="n"/>
      <c r="F41" s="31" t="n"/>
      <c r="G41" s="31" t="n"/>
      <c r="H41" s="31" t="n"/>
    </row>
    <row r="42">
      <c r="A42" s="32" t="n"/>
      <c r="B42" s="15" t="n"/>
      <c r="C42" s="15" t="n"/>
      <c r="D42" s="27" t="n"/>
      <c r="E42" s="33" t="n"/>
      <c r="F42" s="34" t="n"/>
      <c r="G42" s="34" t="n"/>
      <c r="H42" s="34" t="n"/>
    </row>
    <row r="43">
      <c r="A43" s="4" t="n"/>
      <c r="B43" s="10" t="n"/>
      <c r="C43" s="10" t="n"/>
      <c r="D43" s="27" t="n"/>
      <c r="E43" s="28" t="n"/>
      <c r="F43" s="31" t="n"/>
      <c r="G43" s="31" t="n"/>
      <c r="H43" s="31" t="n"/>
    </row>
    <row r="44">
      <c r="A44" s="32" t="n"/>
      <c r="B44" s="15" t="n"/>
      <c r="C44" s="15" t="n"/>
      <c r="D44" s="27" t="n"/>
      <c r="E44" s="33" t="n"/>
      <c r="F44" s="34" t="n"/>
      <c r="G44" s="34" t="n"/>
      <c r="H44" s="34" t="n"/>
    </row>
    <row r="45">
      <c r="A45" s="4" t="n"/>
      <c r="B45" s="10" t="n"/>
      <c r="C45" s="10" t="n"/>
      <c r="D45" s="27" t="n"/>
      <c r="E45" s="28" t="n"/>
      <c r="F45" s="31" t="n"/>
      <c r="G45" s="31" t="n"/>
      <c r="H45" s="31" t="n"/>
    </row>
    <row r="46">
      <c r="A46" s="32" t="n"/>
      <c r="B46" s="15" t="n"/>
      <c r="C46" s="15" t="n"/>
      <c r="D46" s="27" t="n"/>
      <c r="E46" s="33" t="n"/>
      <c r="F46" s="34" t="n"/>
      <c r="G46" s="34" t="n"/>
      <c r="H46" s="34" t="n"/>
    </row>
    <row r="48">
      <c r="C48" s="35" t="inlineStr">
        <is>
          <t>TOTAL HORAS</t>
        </is>
      </c>
      <c r="D48" s="22">
        <f>SUM(D4:D46)</f>
        <v/>
      </c>
    </row>
  </sheetData>
  <mergeCells count="2">
    <mergeCell ref="A2:H2"/>
    <mergeCell ref="A1:H1"/>
  </mergeCells>
  <dataValidations count="4">
    <dataValidation sqref="B4:B46" showDropDown="0" showInputMessage="0" showErrorMessage="0" allowBlank="1" promptTitle="Aplicación" prompt="BC = BodyCamServer  ·  AN = AeriaNexusPrototype" type="list">
      <formula1>"BC,AN"</formula1>
    </dataValidation>
    <dataValidation sqref="C4:C46" showDropDown="0" showInputMessage="0" showErrorMessage="0" allowBlank="1" promptTitle="Bloque" prompt="Reutiliza el id si continuas un bloque; crea el siguiente número de esa app si abres uno nuevo." type="list">
      <formula1>"BC-1,BC-2,BC-3,AN-1,AN-2"</formula1>
    </dataValidation>
    <dataValidation sqref="G4:G46" showDropDown="0" showInputMessage="0" showErrorMessage="0" allowBlank="1" type="list">
      <formula1>"Sí,No"</formula1>
    </dataValidation>
    <dataValidation sqref="C4:C46" showDropDown="0" showInputMessage="0" showErrorMessage="0" allowBlank="1" type="list">
      <formula1>"BC-1,BC-2,BC-3,BC-4,AN-1,AN-2,ADM"</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
  <sheetViews>
    <sheetView showGridLines="0" workbookViewId="0">
      <pane ySplit="3" topLeftCell="A4" activePane="bottomLeft" state="frozen"/>
      <selection pane="bottomLeft" activeCell="A1" sqref="A1"/>
    </sheetView>
  </sheetViews>
  <sheetFormatPr baseColWidth="8" defaultRowHeight="15"/>
  <cols>
    <col width="9" customWidth="1" min="1" max="1"/>
    <col width="20" customWidth="1" min="2" max="2"/>
    <col width="30" customWidth="1" min="3" max="3"/>
    <col width="13" customWidth="1" min="4" max="4"/>
    <col width="22" customWidth="1" min="5" max="5"/>
    <col width="11" customWidth="1" min="6" max="6"/>
    <col width="12" customWidth="1" min="7" max="7"/>
    <col width="12" customWidth="1" min="8" max="8"/>
    <col width="10" customWidth="1" min="9" max="9"/>
    <col width="14" customWidth="1" min="10" max="10"/>
  </cols>
  <sheetData>
    <row r="1" ht="30" customHeight="1">
      <c r="A1" s="1" t="inlineStr">
        <is>
          <t xml:space="preserve">  BLOQUES DE TRABAJO — agrupados por aplicación</t>
        </is>
      </c>
    </row>
    <row r="3" ht="28" customHeight="1">
      <c r="A3" s="8" t="inlineStr">
        <is>
          <t>ID</t>
        </is>
      </c>
      <c r="B3" s="8" t="inlineStr">
        <is>
          <t>Aplicación</t>
        </is>
      </c>
      <c r="C3" s="8" t="inlineStr">
        <is>
          <t>Nombre</t>
        </is>
      </c>
      <c r="D3" s="8" t="inlineStr">
        <is>
          <t>Fecha</t>
        </is>
      </c>
      <c r="E3" s="8" t="inlineStr">
        <is>
          <t>Estado</t>
        </is>
      </c>
      <c r="F3" s="8" t="inlineStr">
        <is>
          <t>Archivos</t>
        </is>
      </c>
      <c r="G3" s="8" t="inlineStr">
        <is>
          <t>Líneas +</t>
        </is>
      </c>
      <c r="H3" s="8" t="inlineStr">
        <is>
          <t>Líneas −</t>
        </is>
      </c>
      <c r="I3" s="8" t="inlineStr">
        <is>
          <t>Horas</t>
        </is>
      </c>
      <c r="J3" s="8" t="inlineStr">
        <is>
          <t>Importe</t>
        </is>
      </c>
    </row>
    <row r="4">
      <c r="A4" s="36" t="inlineStr">
        <is>
          <t>BC-1</t>
        </is>
      </c>
      <c r="B4" s="31" t="inlineStr">
        <is>
          <t>BodyCamServer</t>
        </is>
      </c>
      <c r="C4" s="28" t="inlineStr">
        <is>
          <t>Grabación continua / EvidenceStore</t>
        </is>
      </c>
      <c r="D4" s="4" t="n">
        <v>46243</v>
      </c>
      <c r="E4" s="37" t="inlineStr">
        <is>
          <t>Al estandar bodycam (video unico con rotulo), validado en la unidad</t>
        </is>
      </c>
      <c r="F4" s="10" t="n">
        <v>12</v>
      </c>
      <c r="G4" s="11" t="n">
        <v>1027</v>
      </c>
      <c r="H4" s="11" t="n">
        <v>438</v>
      </c>
      <c r="I4" s="12">
        <f>SUMIF(Sesiones!$C:$C,A4,Sesiones!$D:$D)</f>
        <v/>
      </c>
      <c r="J4" s="13">
        <f>I4*Resumen!$C$9</f>
        <v/>
      </c>
    </row>
    <row r="5">
      <c r="A5" s="36" t="inlineStr">
        <is>
          <t>BC-2</t>
        </is>
      </c>
      <c r="B5" s="31" t="inlineStr">
        <is>
          <t>BodyCamServer</t>
        </is>
      </c>
      <c r="C5" s="28" t="inlineStr">
        <is>
          <t>Cifrado — medición</t>
        </is>
      </c>
      <c r="D5" s="4" t="n">
        <v>46248</v>
      </c>
      <c r="E5" s="38" t="inlineStr">
        <is>
          <t>Sin commitear (develop)</t>
        </is>
      </c>
      <c r="F5" s="10" t="n">
        <v>7</v>
      </c>
      <c r="G5" s="11" t="n">
        <v>2803</v>
      </c>
      <c r="H5" s="11" t="n">
        <v>0</v>
      </c>
      <c r="I5" s="12">
        <f>SUMIF(Sesiones!$C:$C,A5,Sesiones!$D:$D)</f>
        <v/>
      </c>
      <c r="J5" s="13">
        <f>I5*Resumen!$C$9</f>
        <v/>
      </c>
    </row>
    <row r="6">
      <c r="A6" s="36" t="inlineStr">
        <is>
          <t>BC-3</t>
        </is>
      </c>
      <c r="B6" s="31" t="inlineStr">
        <is>
          <t>BodyCamServer</t>
        </is>
      </c>
      <c r="C6" s="28" t="inlineStr">
        <is>
          <t>Pantalla en reposo + cronometro</t>
        </is>
      </c>
      <c r="D6" s="4" t="n">
        <v>46249</v>
      </c>
      <c r="E6" s="38" t="inlineStr">
        <is>
          <t>Sin commitear (develop)</t>
        </is>
      </c>
      <c r="F6" s="10" t="n">
        <v>1</v>
      </c>
      <c r="G6" s="11" t="n">
        <v>90</v>
      </c>
      <c r="H6" s="11" t="n">
        <v>0</v>
      </c>
      <c r="I6" s="12">
        <f>SUMIF(Sesiones!$C:$C,A6,Sesiones!$D:$D)</f>
        <v/>
      </c>
      <c r="J6" s="13">
        <f>I6*Resumen!$C$9</f>
        <v/>
      </c>
    </row>
    <row r="7">
      <c r="A7" s="36" t="inlineStr">
        <is>
          <t>ADM</t>
        </is>
      </c>
      <c r="B7" s="31" t="inlineStr">
        <is>
          <t>BodyCamServer</t>
        </is>
      </c>
      <c r="C7" s="28" t="inlineStr">
        <is>
          <t>Administracion (seguimiento de horas)</t>
        </is>
      </c>
      <c r="D7" s="4" t="n">
        <v>46249</v>
      </c>
      <c r="E7" s="37" t="inlineStr">
        <is>
          <t>Continuo</t>
        </is>
      </c>
      <c r="F7" s="46" t="n">
        <v>0</v>
      </c>
      <c r="G7" s="11" t="n">
        <v>0</v>
      </c>
      <c r="H7" s="11" t="n">
        <v>0</v>
      </c>
      <c r="I7" s="12">
        <f>SUMIF(Sesiones!$C:$C,A7,Sesiones!$D:$D)</f>
        <v/>
      </c>
      <c r="J7" s="13">
        <f>I7*Resumen!$C$9</f>
        <v/>
      </c>
    </row>
    <row r="8">
      <c r="A8" s="36" t="inlineStr">
        <is>
          <t>BC-4</t>
        </is>
      </c>
      <c r="B8" s="31" t="inlineStr">
        <is>
          <t>BodyCamServer</t>
        </is>
      </c>
      <c r="C8" s="28" t="inlineStr">
        <is>
          <t>Panel de control (UX + Compose)</t>
        </is>
      </c>
      <c r="D8" s="4" t="n">
        <v>46257</v>
      </c>
      <c r="E8" s="37" t="inlineStr">
        <is>
          <t>En develop (db04e55, a599da9)</t>
        </is>
      </c>
      <c r="F8" s="46" t="n">
        <v>16</v>
      </c>
      <c r="G8" s="11" t="n">
        <v>978</v>
      </c>
      <c r="H8" s="11" t="n">
        <v>329</v>
      </c>
      <c r="I8" s="12">
        <f>SUMIF(Sesiones!$C:$C,A8,Sesiones!$D:$D)</f>
        <v/>
      </c>
      <c r="J8" s="13">
        <f>I8*Resumen!$C$9</f>
        <v/>
      </c>
    </row>
    <row r="9">
      <c r="A9" s="36" t="inlineStr">
        <is>
          <t>BC-5</t>
        </is>
      </c>
      <c r="B9" s="31" t="inlineStr">
        <is>
          <t>BodyCamServer</t>
        </is>
      </c>
      <c r="C9" s="28" t="inlineStr">
        <is>
          <t>Cifrado y hash de la evidencia (implementacion)</t>
        </is>
      </c>
      <c r="D9" s="4" t="n">
        <v>46259</v>
      </c>
      <c r="E9" s="37" t="inlineStr">
        <is>
          <t>En develop (81f0995), validado en la unidad. Version 1.2 en codigo; la unidad corre el binario 1.1 (mismo codigo, compilado antes del salto)</t>
        </is>
      </c>
      <c r="F9" s="46" t="n">
        <v>6</v>
      </c>
      <c r="G9" s="11" t="n">
        <v>1060</v>
      </c>
      <c r="H9" s="11" t="n">
        <v>0</v>
      </c>
      <c r="I9" s="12">
        <f>SUMIF(Sesiones!$C:$C,A9,Sesiones!$D:$D)</f>
        <v/>
      </c>
      <c r="J9" s="13">
        <f>I9*Resumen!$C$9</f>
        <v/>
      </c>
    </row>
    <row r="10">
      <c r="A10" s="39" t="n"/>
      <c r="B10" s="39" t="n"/>
      <c r="C10" s="40" t="inlineStr">
        <is>
          <t>Subtotal BodyCamServer</t>
        </is>
      </c>
      <c r="D10" s="39" t="n"/>
      <c r="E10" s="39" t="n"/>
      <c r="F10" s="41">
        <f>SUM(F4:F9)</f>
        <v/>
      </c>
      <c r="G10" s="42">
        <f>SUM(G4:G9)</f>
        <v/>
      </c>
      <c r="H10" s="42">
        <f>SUM(H4:H9)</f>
        <v/>
      </c>
      <c r="I10" s="43">
        <f>SUM(I4:I9)</f>
        <v/>
      </c>
      <c r="J10" s="44">
        <f>SUM(J4:J9)</f>
        <v/>
      </c>
    </row>
    <row r="12">
      <c r="A12" s="36" t="inlineStr">
        <is>
          <t>AN-1</t>
        </is>
      </c>
      <c r="B12" s="31" t="inlineStr">
        <is>
          <t>AeriaNexusPrototype</t>
        </is>
      </c>
      <c r="C12" s="45" t="inlineStr">
        <is>
          <t>Cifrado y hash de la evidencia (port de FEVD v1)</t>
        </is>
      </c>
      <c r="D12" s="58" t="n">
        <v>46259</v>
      </c>
      <c r="E12" s="37" t="inlineStr">
        <is>
          <t>Sin commitear. Compila; sin validar en telefono</t>
        </is>
      </c>
      <c r="F12" s="46" t="n">
        <v>7</v>
      </c>
      <c r="G12" s="11" t="n">
        <v>799</v>
      </c>
      <c r="H12" s="11" t="n">
        <v>46</v>
      </c>
      <c r="I12" s="12">
        <f>SUMIF(Sesiones!$C:$C,A12,Sesiones!$D:$D)</f>
        <v/>
      </c>
      <c r="J12" s="13">
        <f>I12*Resumen!$C$9</f>
        <v/>
      </c>
    </row>
    <row r="14">
      <c r="A14" s="47" t="n"/>
      <c r="B14" s="47" t="n"/>
      <c r="C14" s="48" t="inlineStr">
        <is>
          <t>TOTAL PROYECTO</t>
        </is>
      </c>
      <c r="D14" s="47" t="n"/>
      <c r="E14" s="47" t="n"/>
      <c r="F14" s="49">
        <f>SUM(F4:F9)+F12</f>
        <v/>
      </c>
      <c r="G14" s="21">
        <f>SUM(G4:G9)+G12</f>
        <v/>
      </c>
      <c r="H14" s="21">
        <f>SUM(H4:H9)+H12</f>
        <v/>
      </c>
      <c r="I14" s="22">
        <f>SUM(I4:I9)+I12</f>
        <v/>
      </c>
      <c r="J14" s="23">
        <f>SUM(J4:J9)+J12</f>
        <v/>
      </c>
    </row>
    <row r="15"/>
    <row r="16">
      <c r="A16" s="5" t="inlineStr">
        <is>
          <t>Las columnas 'Horas' e 'Importe' se calculan solas a partir de la hoja Sesiones. No escribas en ellas.</t>
        </is>
      </c>
    </row>
  </sheetData>
  <mergeCells count="2">
    <mergeCell ref="A15:J15"/>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showGridLines="0" workbookViewId="0">
      <pane ySplit="3" topLeftCell="A4" activePane="bottomLeft" state="frozen"/>
      <selection pane="bottomLeft" activeCell="A1" sqref="A1"/>
    </sheetView>
  </sheetViews>
  <sheetFormatPr baseColWidth="8" defaultRowHeight="15"/>
  <cols>
    <col width="5" customWidth="1" min="1" max="1"/>
    <col width="13" customWidth="1" min="2" max="2"/>
    <col width="20" customWidth="1" min="3" max="3"/>
    <col width="60" customWidth="1" min="4" max="4"/>
    <col width="13" customWidth="1" min="5" max="5"/>
    <col width="11" customWidth="1" min="6" max="6"/>
    <col width="14" customWidth="1" min="7" max="7"/>
  </cols>
  <sheetData>
    <row r="1" ht="30" customHeight="1">
      <c r="A1" s="1" t="inlineStr">
        <is>
          <t xml:space="preserve">  ENTREGAS Y PAGOS</t>
        </is>
      </c>
    </row>
    <row r="3" ht="28" customHeight="1">
      <c r="A3" s="8" t="inlineStr">
        <is>
          <t>#</t>
        </is>
      </c>
      <c r="B3" s="8" t="inlineStr">
        <is>
          <t>Fecha</t>
        </is>
      </c>
      <c r="C3" s="8" t="inlineStr">
        <is>
          <t>Aplicación</t>
        </is>
      </c>
      <c r="D3" s="8" t="inlineStr">
        <is>
          <t>Contenido</t>
        </is>
      </c>
      <c r="E3" s="8" t="inlineStr">
        <is>
          <t>Commit</t>
        </is>
      </c>
      <c r="F3" s="8" t="inlineStr">
        <is>
          <t>Pagado</t>
        </is>
      </c>
      <c r="G3" s="8" t="inlineStr">
        <is>
          <t>Fecha de pago</t>
        </is>
      </c>
    </row>
    <row r="4" ht="30" customHeight="1">
      <c r="A4" s="10" t="n">
        <v>1</v>
      </c>
      <c r="B4" s="4" t="n">
        <v>46135</v>
      </c>
      <c r="C4" s="31" t="inlineStr">
        <is>
          <t>BodyCamServer</t>
        </is>
      </c>
      <c r="D4" s="28" t="inlineStr">
        <is>
          <t>Primera subida del servidor</t>
        </is>
      </c>
      <c r="E4" s="29" t="inlineStr">
        <is>
          <t>60448a3</t>
        </is>
      </c>
      <c r="F4" s="37" t="inlineStr">
        <is>
          <t>Sí</t>
        </is>
      </c>
      <c r="G4" s="4" t="n"/>
    </row>
    <row r="5" ht="30" customHeight="1">
      <c r="A5" s="10" t="n">
        <v>2</v>
      </c>
      <c r="B5" s="4" t="n">
        <v>46213</v>
      </c>
      <c r="C5" s="31" t="inlineStr">
        <is>
          <t>AeriaNexusPrototype</t>
        </is>
      </c>
      <c r="D5" s="28" t="inlineStr">
        <is>
          <t>Initial commit del prototipo cliente</t>
        </is>
      </c>
      <c r="E5" s="29" t="inlineStr">
        <is>
          <t>6bfbd55</t>
        </is>
      </c>
      <c r="F5" s="37" t="inlineStr">
        <is>
          <t>Sí</t>
        </is>
      </c>
      <c r="G5" s="4" t="n"/>
    </row>
    <row r="6" ht="30" customHeight="1">
      <c r="A6" s="10" t="n">
        <v>3</v>
      </c>
      <c r="B6" s="4" t="n">
        <v>46225</v>
      </c>
      <c r="C6" s="31" t="inlineStr">
        <is>
          <t>AeriaNexusPrototype</t>
        </is>
      </c>
      <c r="D6" s="28" t="inlineStr">
        <is>
          <t>Bloqueo de screenrecorder, incidencias locales, versionado automático de debug</t>
        </is>
      </c>
      <c r="E6" s="29" t="inlineStr">
        <is>
          <t>74cba54</t>
        </is>
      </c>
      <c r="F6" s="37" t="inlineStr">
        <is>
          <t>Sí</t>
        </is>
      </c>
      <c r="G6" s="4" t="n">
        <v>46227</v>
      </c>
    </row>
    <row r="7" ht="30" customHeight="1">
      <c r="A7" s="10" t="n">
        <v>4</v>
      </c>
      <c r="B7" s="4" t="n">
        <v>46243</v>
      </c>
      <c r="C7" s="31" t="inlineStr">
        <is>
          <t>BodyCamServer</t>
        </is>
      </c>
      <c r="D7" s="28" t="inlineStr">
        <is>
          <t>Grabación continua: EvidenceStore, buffer en anillo, pre-roll de 120 s</t>
        </is>
      </c>
      <c r="E7" s="29" t="inlineStr">
        <is>
          <t>d4a4709</t>
        </is>
      </c>
      <c r="F7" s="38" t="inlineStr">
        <is>
          <t>No</t>
        </is>
      </c>
      <c r="G7" s="4" t="n"/>
    </row>
    <row r="8">
      <c r="A8" s="31" t="n"/>
      <c r="B8" s="31" t="n"/>
      <c r="C8" s="31" t="n"/>
      <c r="D8" s="31" t="n"/>
      <c r="E8" s="31" t="n"/>
      <c r="F8" s="31" t="n"/>
      <c r="G8" s="31" t="n"/>
    </row>
    <row r="9">
      <c r="A9" s="31" t="n"/>
      <c r="B9" s="31" t="n"/>
      <c r="C9" s="31" t="n"/>
      <c r="D9" s="31" t="n"/>
      <c r="E9" s="31" t="n"/>
      <c r="F9" s="31" t="n"/>
      <c r="G9" s="31" t="n"/>
    </row>
    <row r="10">
      <c r="A10" s="31" t="n"/>
      <c r="B10" s="31" t="n"/>
      <c r="C10" s="31" t="n"/>
      <c r="D10" s="31" t="n"/>
      <c r="E10" s="31" t="n"/>
      <c r="F10" s="31" t="n"/>
      <c r="G10" s="31" t="n"/>
    </row>
    <row r="11">
      <c r="A11" s="31" t="n"/>
      <c r="B11" s="31" t="n"/>
      <c r="C11" s="31" t="n"/>
      <c r="D11" s="31" t="n"/>
      <c r="E11" s="31" t="n"/>
      <c r="F11" s="31" t="n"/>
      <c r="G11" s="31" t="n"/>
    </row>
    <row r="12">
      <c r="A12" s="31" t="n"/>
      <c r="B12" s="31" t="n"/>
      <c r="C12" s="31" t="n"/>
      <c r="D12" s="31" t="n"/>
      <c r="E12" s="31" t="n"/>
      <c r="F12" s="31" t="n"/>
      <c r="G12" s="31" t="n"/>
    </row>
    <row r="13">
      <c r="A13" s="31" t="n"/>
      <c r="B13" s="31" t="n"/>
      <c r="C13" s="31" t="n"/>
      <c r="D13" s="31" t="n"/>
      <c r="E13" s="31" t="n"/>
      <c r="F13" s="31" t="n"/>
      <c r="G13" s="31" t="n"/>
    </row>
    <row r="14">
      <c r="A14" s="31" t="n"/>
      <c r="B14" s="31" t="n"/>
      <c r="C14" s="31" t="n"/>
      <c r="D14" s="31" t="n"/>
      <c r="E14" s="31" t="n"/>
      <c r="F14" s="31" t="n"/>
      <c r="G14" s="31" t="n"/>
    </row>
    <row r="15">
      <c r="A15" s="31" t="n"/>
      <c r="B15" s="31" t="n"/>
      <c r="C15" s="31" t="n"/>
      <c r="D15" s="31" t="n"/>
      <c r="E15" s="31" t="n"/>
      <c r="F15" s="31" t="n"/>
      <c r="G15" s="31" t="n"/>
    </row>
    <row r="16">
      <c r="A16" s="31" t="n"/>
      <c r="B16" s="31" t="n"/>
      <c r="C16" s="31" t="n"/>
      <c r="D16" s="31" t="n"/>
      <c r="E16" s="31" t="n"/>
      <c r="F16" s="31" t="n"/>
      <c r="G16" s="31" t="n"/>
    </row>
    <row r="17">
      <c r="A17" s="31" t="n"/>
      <c r="B17" s="31" t="n"/>
      <c r="C17" s="31" t="n"/>
      <c r="D17" s="31" t="n"/>
      <c r="E17" s="31" t="n"/>
      <c r="F17" s="31" t="n"/>
      <c r="G17" s="31" t="n"/>
    </row>
    <row r="18">
      <c r="A18" s="31" t="n"/>
      <c r="B18" s="31" t="n"/>
      <c r="C18" s="31" t="n"/>
      <c r="D18" s="31" t="n"/>
      <c r="E18" s="31" t="n"/>
      <c r="F18" s="31" t="n"/>
      <c r="G18" s="31" t="n"/>
    </row>
    <row r="19">
      <c r="A19" s="31" t="n"/>
      <c r="B19" s="31" t="n"/>
      <c r="C19" s="31" t="n"/>
      <c r="D19" s="31" t="n"/>
      <c r="E19" s="31" t="n"/>
      <c r="F19" s="31" t="n"/>
      <c r="G19" s="31" t="n"/>
    </row>
    <row r="22" ht="28" customHeight="1">
      <c r="B22" s="24" t="inlineStr">
        <is>
          <t>El pago del 2026-07-24 cubre hasta la entrega #3. La #4 y el trabajo del 2026-08-14 (bloque BC-2, sin commitear) son posteriores — están pendientes de cobro.</t>
        </is>
      </c>
    </row>
  </sheetData>
  <mergeCells count="2">
    <mergeCell ref="B22:G2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9"/>
  <sheetViews>
    <sheetView showGridLines="0" workbookViewId="0">
      <pane ySplit="3" topLeftCell="A4" activePane="bottomLeft" state="frozen"/>
      <selection pane="bottomLeft" activeCell="A1" sqref="A1"/>
    </sheetView>
  </sheetViews>
  <sheetFormatPr baseColWidth="8" defaultRowHeight="15"/>
  <cols>
    <col width="13" customWidth="1" min="1" max="1"/>
    <col width="20" customWidth="1" min="2" max="2"/>
    <col width="11" customWidth="1" min="3" max="3"/>
    <col width="62" customWidth="1" min="4" max="4"/>
    <col width="16" customWidth="1" min="5" max="5"/>
  </cols>
  <sheetData>
    <row r="1" ht="30" customHeight="1">
      <c r="A1" s="1" t="inlineStr">
        <is>
          <t xml:space="preserve">  HISTORIAL DE COMMITS — ambas aplicaciones</t>
        </is>
      </c>
    </row>
    <row r="2">
      <c r="A2" s="5" t="inlineStr">
        <is>
          <t>Datos objetivos sacados de git. Las horas de estas fechas nunca se registraron.</t>
        </is>
      </c>
    </row>
    <row r="3" ht="28" customHeight="1">
      <c r="A3" s="8" t="inlineStr">
        <is>
          <t>Fecha</t>
        </is>
      </c>
      <c r="B3" s="8" t="inlineStr">
        <is>
          <t>Aplicación</t>
        </is>
      </c>
      <c r="C3" s="8" t="inlineStr">
        <is>
          <t>Commit</t>
        </is>
      </c>
      <c r="D3" s="8" t="inlineStr">
        <is>
          <t>Descripción</t>
        </is>
      </c>
      <c r="E3" s="8" t="inlineStr">
        <is>
          <t>Posterior al pago</t>
        </is>
      </c>
    </row>
    <row r="4">
      <c r="A4" s="4" t="n">
        <v>46257</v>
      </c>
      <c r="B4" s="31" t="inlineStr">
        <is>
          <t>BodyCamServer</t>
        </is>
      </c>
      <c r="C4" s="29" t="inlineStr">
        <is>
          <t>a25c0c7</t>
        </is>
      </c>
      <c r="D4" s="28" t="inlineStr">
        <is>
          <t>numeracion secuencial INC_000001 con contador auto-reparable</t>
        </is>
      </c>
      <c r="E4" s="38" t="inlineStr">
        <is>
          <t>Sí</t>
        </is>
      </c>
    </row>
    <row r="5">
      <c r="A5" s="4" t="n">
        <v>46257</v>
      </c>
      <c r="B5" s="31" t="inlineStr">
        <is>
          <t>BodyCamServer</t>
        </is>
      </c>
      <c r="C5" s="29" t="inlineStr">
        <is>
          <t>4373116</t>
        </is>
      </c>
      <c r="D5" s="28" t="inlineStr">
        <is>
          <t>rotulo del oficial quemado en los frames + .nomedia en el anillo</t>
        </is>
      </c>
      <c r="E5" s="38" t="inlineStr">
        <is>
          <t>Sí</t>
        </is>
      </c>
    </row>
    <row r="6">
      <c r="A6" s="4" t="n">
        <v>46257</v>
      </c>
      <c r="B6" s="31" t="inlineStr">
        <is>
          <t>BodyCamServer</t>
        </is>
      </c>
      <c r="C6" s="29" t="inlineStr">
        <is>
          <t>b00332f</t>
        </is>
      </c>
      <c r="D6" s="28" t="inlineStr">
        <is>
          <t>un incidente = un unico MP4, ensamblado sin recodificar</t>
        </is>
      </c>
      <c r="E6" s="38" t="inlineStr">
        <is>
          <t>Sí</t>
        </is>
      </c>
    </row>
    <row r="7">
      <c r="A7" s="4" t="n">
        <v>46257</v>
      </c>
      <c r="B7" s="31" t="inlineStr">
        <is>
          <t>BodyCamServer</t>
        </is>
      </c>
      <c r="C7" s="29" t="inlineStr">
        <is>
          <t>48892dd</t>
        </is>
      </c>
      <c r="D7" s="28" t="inlineStr">
        <is>
          <t>evidencia con nombre placa_fecha_hora al promoverse</t>
        </is>
      </c>
      <c r="E7" s="38" t="inlineStr">
        <is>
          <t>Sí</t>
        </is>
      </c>
    </row>
    <row r="8">
      <c r="A8" s="4" t="n">
        <v>46257</v>
      </c>
      <c r="B8" s="31" t="inlineStr">
        <is>
          <t>BodyCamServer</t>
        </is>
      </c>
      <c r="C8" s="29" t="inlineStr">
        <is>
          <t>671cab7</t>
        </is>
      </c>
      <c r="D8" s="28" t="inlineStr">
        <is>
          <t>identidad del oficial en overlay y manifest</t>
        </is>
      </c>
      <c r="E8" s="38" t="inlineStr">
        <is>
          <t>Sí</t>
        </is>
      </c>
    </row>
    <row r="9">
      <c r="A9" s="4" t="n">
        <v>46257</v>
      </c>
      <c r="B9" s="31" t="inlineStr">
        <is>
          <t>BodyCamServer</t>
        </is>
      </c>
      <c r="C9" s="29" t="inlineStr">
        <is>
          <t>16c498a</t>
        </is>
      </c>
      <c r="D9" s="28" t="inlineStr">
        <is>
          <t>arreglos (usuario)</t>
        </is>
      </c>
      <c r="E9" s="38" t="inlineStr">
        <is>
          <t>Sí</t>
        </is>
      </c>
    </row>
    <row r="10">
      <c r="A10" s="4" t="n">
        <v>46257</v>
      </c>
      <c r="B10" s="31" t="inlineStr">
        <is>
          <t>BodyCamServer</t>
        </is>
      </c>
      <c r="C10" s="29" t="inlineStr">
        <is>
          <t>f2e7e52</t>
        </is>
      </c>
      <c r="D10" s="28" t="inlineStr">
        <is>
          <t>armar al abrir la app - la pieza de 56d5478 que no llego al disco</t>
        </is>
      </c>
      <c r="E10" s="38" t="inlineStr">
        <is>
          <t>Sí</t>
        </is>
      </c>
    </row>
    <row r="11">
      <c r="A11" s="4" t="n">
        <v>46257</v>
      </c>
      <c r="B11" s="31" t="inlineStr">
        <is>
          <t>BodyCamServer</t>
        </is>
      </c>
      <c r="C11" s="29" t="inlineStr">
        <is>
          <t>99b42a6</t>
        </is>
      </c>
      <c r="D11" s="28" t="inlineStr">
        <is>
          <t>LED por estado real: el azul de buffer ya no se pisa con verde</t>
        </is>
      </c>
      <c r="E11" s="38" t="inlineStr">
        <is>
          <t>Sí</t>
        </is>
      </c>
    </row>
    <row r="12">
      <c r="A12" s="4" t="n">
        <v>46257</v>
      </c>
      <c r="B12" s="31" t="inlineStr">
        <is>
          <t>BodyCamServer</t>
        </is>
      </c>
      <c r="C12" s="29" t="inlineStr">
        <is>
          <t>2ecc7d5</t>
        </is>
      </c>
      <c r="D12" s="28" t="inlineStr">
        <is>
          <t>pre buffer integrado, led azul y armar al abrir la app (seguimiento)</t>
        </is>
      </c>
      <c r="E12" s="38" t="inlineStr">
        <is>
          <t>Sí</t>
        </is>
      </c>
    </row>
    <row r="13">
      <c r="A13" s="4" t="n">
        <v>46257</v>
      </c>
      <c r="B13" s="31" t="inlineStr">
        <is>
          <t>BodyCamServer</t>
        </is>
      </c>
      <c r="C13" s="29" t="inlineStr">
        <is>
          <t>56d5478</t>
        </is>
      </c>
      <c r="D13" s="28" t="inlineStr">
        <is>
          <t>buffer automatico al abrir, pre-roll de 20 s y LED azul en servicio</t>
        </is>
      </c>
      <c r="E13" s="38" t="inlineStr">
        <is>
          <t>Sí</t>
        </is>
      </c>
    </row>
    <row r="14">
      <c r="A14" s="4" t="n">
        <v>46257</v>
      </c>
      <c r="B14" s="31" t="inlineStr">
        <is>
          <t>BodyCamServer</t>
        </is>
      </c>
      <c r="C14" s="29" t="inlineStr">
        <is>
          <t>06008b2</t>
        </is>
      </c>
      <c r="D14" s="28" t="inlineStr">
        <is>
          <t>merge main: grabacion continua con pre-roll sobre la UI nueva de develop</t>
        </is>
      </c>
      <c r="E14" s="38" t="inlineStr">
        <is>
          <t>Sí</t>
        </is>
      </c>
    </row>
    <row r="15">
      <c r="A15" s="4" t="n">
        <v>46257</v>
      </c>
      <c r="B15" s="31" t="inlineStr">
        <is>
          <t>BodyCamServer</t>
        </is>
      </c>
      <c r="C15" s="29" t="inlineStr">
        <is>
          <t>a599da9</t>
        </is>
      </c>
      <c r="D15" s="28" t="inlineStr">
        <is>
          <t>botones en pantalla quitados, prebuffer mejorado, ux y enviar a servidor</t>
        </is>
      </c>
      <c r="E15" s="38" t="inlineStr">
        <is>
          <t>Sí</t>
        </is>
      </c>
    </row>
    <row r="16">
      <c r="A16" s="4" t="n">
        <v>46257</v>
      </c>
      <c r="B16" s="31" t="inlineStr">
        <is>
          <t>BodyCamServer</t>
        </is>
      </c>
      <c r="C16" s="29" t="inlineStr">
        <is>
          <t>db04e55</t>
        </is>
      </c>
      <c r="D16" s="28" t="inlineStr">
        <is>
          <t>botones de subir a server</t>
        </is>
      </c>
      <c r="E16" s="38" t="inlineStr">
        <is>
          <t>Sí</t>
        </is>
      </c>
    </row>
    <row r="17">
      <c r="A17" s="4" t="n">
        <v>46249</v>
      </c>
      <c r="B17" s="31" t="inlineStr">
        <is>
          <t>BodyCamServer</t>
        </is>
      </c>
      <c r="C17" s="29" t="inlineStr">
        <is>
          <t>420590e</t>
        </is>
      </c>
      <c r="D17" s="28" t="inlineStr">
        <is>
          <t>no segmentacion, pantalla cerrada al grabar, cronometro</t>
        </is>
      </c>
      <c r="E17" s="38" t="inlineStr">
        <is>
          <t>Sí</t>
        </is>
      </c>
    </row>
    <row r="18">
      <c r="A18" s="4" t="n">
        <v>46243</v>
      </c>
      <c r="B18" s="31" t="inlineStr">
        <is>
          <t>BodyCamServer</t>
        </is>
      </c>
      <c r="C18" s="29" t="inlineStr">
        <is>
          <t>d4a4709</t>
        </is>
      </c>
      <c r="D18" s="28" t="inlineStr">
        <is>
          <t>avance grabacion continua</t>
        </is>
      </c>
      <c r="E18" s="38" t="inlineStr">
        <is>
          <t>Sí</t>
        </is>
      </c>
    </row>
    <row r="19">
      <c r="A19" s="32" t="n">
        <v>46225</v>
      </c>
      <c r="B19" s="34" t="inlineStr">
        <is>
          <t>AeriaNexusPrototype</t>
        </is>
      </c>
      <c r="C19" s="50" t="inlineStr">
        <is>
          <t>74cba54</t>
        </is>
      </c>
      <c r="D19" s="33" t="inlineStr">
        <is>
          <t>quitado screenrecorder bloqueo</t>
        </is>
      </c>
      <c r="E19" s="15" t="inlineStr">
        <is>
          <t>—</t>
        </is>
      </c>
    </row>
    <row r="20">
      <c r="A20" s="4" t="n">
        <v>46223</v>
      </c>
      <c r="B20" s="31" t="inlineStr">
        <is>
          <t>AeriaNexusPrototype</t>
        </is>
      </c>
      <c r="C20" s="29" t="inlineStr">
        <is>
          <t>327f4a6</t>
        </is>
      </c>
      <c r="D20" s="28" t="inlineStr">
        <is>
          <t>ahora las versiones debug aumentan automaticamente</t>
        </is>
      </c>
      <c r="E20" s="10" t="inlineStr">
        <is>
          <t>—</t>
        </is>
      </c>
    </row>
    <row r="21">
      <c r="A21" s="32" t="n">
        <v>46223</v>
      </c>
      <c r="B21" s="34" t="inlineStr">
        <is>
          <t>AeriaNexusPrototype</t>
        </is>
      </c>
      <c r="C21" s="50" t="inlineStr">
        <is>
          <t>82adb88</t>
        </is>
      </c>
      <c r="D21" s="33" t="inlineStr">
        <is>
          <t>guardado local de incidencias</t>
        </is>
      </c>
      <c r="E21" s="15" t="inlineStr">
        <is>
          <t>—</t>
        </is>
      </c>
    </row>
    <row r="22">
      <c r="A22" s="4" t="n">
        <v>46218</v>
      </c>
      <c r="B22" s="31" t="inlineStr">
        <is>
          <t>AeriaNexusPrototype</t>
        </is>
      </c>
      <c r="C22" s="29" t="inlineStr">
        <is>
          <t>21c325e</t>
        </is>
      </c>
      <c r="D22" s="28" t="inlineStr">
        <is>
          <t>screenshot bloqueado, tooltip SOS, topbar no clickable, icono de mapa en SOS</t>
        </is>
      </c>
      <c r="E22" s="10" t="inlineStr">
        <is>
          <t>—</t>
        </is>
      </c>
    </row>
    <row r="23">
      <c r="A23" s="32" t="n">
        <v>46215</v>
      </c>
      <c r="B23" s="34" t="inlineStr">
        <is>
          <t>BodyCamServer</t>
        </is>
      </c>
      <c r="C23" s="50" t="inlineStr">
        <is>
          <t>98cea82</t>
        </is>
      </c>
      <c r="D23" s="33" t="inlineStr">
        <is>
          <t>gitignore</t>
        </is>
      </c>
      <c r="E23" s="15" t="inlineStr">
        <is>
          <t>—</t>
        </is>
      </c>
    </row>
    <row r="24">
      <c r="A24" s="4" t="n">
        <v>46215</v>
      </c>
      <c r="B24" s="31" t="inlineStr">
        <is>
          <t>BodyCamServer</t>
        </is>
      </c>
      <c r="C24" s="29" t="inlineStr">
        <is>
          <t>116a4c7</t>
        </is>
      </c>
      <c r="D24" s="28" t="inlineStr">
        <is>
          <t>arreglos de grabacion desde telefono</t>
        </is>
      </c>
      <c r="E24" s="10" t="inlineStr">
        <is>
          <t>—</t>
        </is>
      </c>
    </row>
    <row r="25">
      <c r="A25" s="32" t="n">
        <v>46215</v>
      </c>
      <c r="B25" s="55" t="n"/>
      <c r="C25" s="55" t="n"/>
      <c r="D25" s="55" t="n"/>
      <c r="E25" s="56" t="n"/>
    </row>
    <row r="26">
      <c r="A26" s="4" t="n">
        <v>46215</v>
      </c>
      <c r="B26" s="31" t="inlineStr">
        <is>
          <t>BodyCamServer</t>
        </is>
      </c>
      <c r="C26" s="29" t="inlineStr">
        <is>
          <t>b69cc42</t>
        </is>
      </c>
      <c r="D26" s="28" t="inlineStr">
        <is>
          <t>bluetooth arreglado y funcionalidad de camara</t>
        </is>
      </c>
      <c r="E26" s="10" t="inlineStr">
        <is>
          <t>—</t>
        </is>
      </c>
    </row>
    <row r="27">
      <c r="A27" s="32" t="n">
        <v>46215</v>
      </c>
      <c r="B27" s="34" t="inlineStr">
        <is>
          <t>AeriaNexusPrototype</t>
        </is>
      </c>
      <c r="C27" s="50" t="inlineStr">
        <is>
          <t>a772f1c</t>
        </is>
      </c>
      <c r="D27" s="33" t="inlineStr">
        <is>
          <t>foto controlador desde el movil SOS, tooltip</t>
        </is>
      </c>
      <c r="E27" s="15" t="inlineStr">
        <is>
          <t>—</t>
        </is>
      </c>
    </row>
    <row r="28">
      <c r="A28" s="4" t="n">
        <v>46213</v>
      </c>
      <c r="B28" s="31" t="inlineStr">
        <is>
          <t>AeriaNexusPrototype</t>
        </is>
      </c>
      <c r="C28" s="29" t="inlineStr">
        <is>
          <t>6bfbd55</t>
        </is>
      </c>
      <c r="D28" s="28" t="inlineStr">
        <is>
          <t>Initial commit</t>
        </is>
      </c>
      <c r="E28" s="10" t="inlineStr">
        <is>
          <t>—</t>
        </is>
      </c>
    </row>
    <row r="29">
      <c r="A29" s="32" t="n">
        <v>46213</v>
      </c>
      <c r="B29" s="34" t="inlineStr">
        <is>
          <t>BodyCamServer</t>
        </is>
      </c>
      <c r="C29" s="50" t="inlineStr">
        <is>
          <t>d8a50e8</t>
        </is>
      </c>
      <c r="D29" s="33" t="inlineStr">
        <is>
          <t>arreglado bug de bluetooth</t>
        </is>
      </c>
      <c r="E29" s="15" t="inlineStr">
        <is>
          <t>—</t>
        </is>
      </c>
    </row>
    <row r="30">
      <c r="A30" s="4" t="n">
        <v>46190</v>
      </c>
      <c r="B30" s="31" t="inlineStr">
        <is>
          <t>BodyCamServer</t>
        </is>
      </c>
      <c r="C30" s="29" t="inlineStr">
        <is>
          <t>560756c</t>
        </is>
      </c>
      <c r="D30" s="28" t="inlineStr">
        <is>
          <t>arreglo luces e icono</t>
        </is>
      </c>
      <c r="E30" s="10" t="inlineStr">
        <is>
          <t>—</t>
        </is>
      </c>
    </row>
    <row r="31">
      <c r="A31" s="32" t="n">
        <v>46189</v>
      </c>
      <c r="B31" s="55" t="n"/>
      <c r="C31" s="55" t="n"/>
      <c r="D31" s="55" t="n"/>
      <c r="E31" s="56" t="n"/>
    </row>
    <row r="32">
      <c r="A32" s="4" t="n">
        <v>46177</v>
      </c>
      <c r="B32" s="31" t="inlineStr">
        <is>
          <t>BodyCamServer</t>
        </is>
      </c>
      <c r="C32" s="29" t="inlineStr">
        <is>
          <t>cf69bcd</t>
        </is>
      </c>
      <c r="D32" s="28" t="inlineStr">
        <is>
          <t>avanzada y arreglada</t>
        </is>
      </c>
      <c r="E32" s="10" t="inlineStr">
        <is>
          <t>—</t>
        </is>
      </c>
    </row>
    <row r="33">
      <c r="A33" s="32" t="n">
        <v>46175</v>
      </c>
      <c r="B33" s="34" t="inlineStr">
        <is>
          <t>BodyCamServer</t>
        </is>
      </c>
      <c r="C33" s="50" t="inlineStr">
        <is>
          <t>16f3d49</t>
        </is>
      </c>
      <c r="D33" s="33" t="inlineStr">
        <is>
          <t>arreglo blue y botones</t>
        </is>
      </c>
      <c r="E33" s="15" t="inlineStr">
        <is>
          <t>—</t>
        </is>
      </c>
    </row>
    <row r="34">
      <c r="A34" s="4" t="n">
        <v>46139</v>
      </c>
      <c r="B34" s="31" t="inlineStr">
        <is>
          <t>BodyCamServer</t>
        </is>
      </c>
      <c r="C34" s="29" t="inlineStr">
        <is>
          <t>eb63e85</t>
        </is>
      </c>
      <c r="D34" s="28" t="inlineStr">
        <is>
          <t>muy funcional, falta layout de pantalla de estado</t>
        </is>
      </c>
      <c r="E34" s="10" t="inlineStr">
        <is>
          <t>—</t>
        </is>
      </c>
    </row>
    <row r="35">
      <c r="A35" s="32" t="n">
        <v>46137</v>
      </c>
      <c r="B35" s="34" t="inlineStr">
        <is>
          <t>BodyCamServer</t>
        </is>
      </c>
      <c r="C35" s="50" t="inlineStr">
        <is>
          <t>4797b0a</t>
        </is>
      </c>
      <c r="D35" s="33" t="inlineStr">
        <is>
          <t>arreglo server</t>
        </is>
      </c>
      <c r="E35" s="15" t="inlineStr">
        <is>
          <t>—</t>
        </is>
      </c>
    </row>
    <row r="36">
      <c r="A36" s="4" t="n">
        <v>46135</v>
      </c>
      <c r="B36" s="31" t="inlineStr">
        <is>
          <t>BodyCamServer</t>
        </is>
      </c>
      <c r="C36" s="29" t="inlineStr">
        <is>
          <t>c99cd77</t>
        </is>
      </c>
      <c r="D36" s="28" t="inlineStr">
        <is>
          <t>new upload</t>
        </is>
      </c>
      <c r="E36" s="10" t="inlineStr">
        <is>
          <t>—</t>
        </is>
      </c>
    </row>
    <row r="37">
      <c r="A37" s="32" t="n">
        <v>46135</v>
      </c>
      <c r="B37" s="34" t="inlineStr">
        <is>
          <t>BodyCamServer</t>
        </is>
      </c>
      <c r="C37" s="50" t="inlineStr">
        <is>
          <t>60448a3</t>
        </is>
      </c>
      <c r="D37" s="33" t="inlineStr">
        <is>
          <t>first commit</t>
        </is>
      </c>
      <c r="E37" s="15" t="inlineStr">
        <is>
          <t>—</t>
        </is>
      </c>
    </row>
    <row r="39">
      <c r="A39" s="51" t="inlineStr">
        <is>
          <t>Total: 20 commits · 13 días naturales con actividad (BodyCamServer 10 · AeriaNexus 5 · 2 días compartidos)</t>
        </is>
      </c>
    </row>
  </sheetData>
  <mergeCells count="3">
    <mergeCell ref="A2:E2"/>
    <mergeCell ref="A1:E1"/>
    <mergeCell ref="A25:E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showGridLines="0" workbookViewId="0">
      <pane ySplit="3" topLeftCell="A4" activePane="bottomLeft" state="frozen"/>
      <selection pane="bottomLeft" activeCell="A1" sqref="A1"/>
    </sheetView>
  </sheetViews>
  <sheetFormatPr baseColWidth="8" defaultRowHeight="15"/>
  <cols>
    <col width="9" customWidth="1" min="1" max="1"/>
    <col width="30" customWidth="1" min="2" max="2"/>
    <col width="11" customWidth="1" min="3" max="3"/>
    <col width="70" customWidth="1" min="4" max="4"/>
  </cols>
  <sheetData>
    <row r="1" ht="30" customHeight="1">
      <c r="A1" s="1" t="inlineStr">
        <is>
          <t xml:space="preserve">  DETALLE DE ARCHIVOS POR BLOQUE</t>
        </is>
      </c>
    </row>
    <row r="3" ht="28" customHeight="1">
      <c r="A3" s="8" t="inlineStr">
        <is>
          <t>Bloque</t>
        </is>
      </c>
      <c r="B3" s="8" t="inlineStr">
        <is>
          <t>Archivo</t>
        </is>
      </c>
      <c r="C3" s="8" t="inlineStr">
        <is>
          <t>Líneas</t>
        </is>
      </c>
      <c r="D3" s="8" t="inlineStr">
        <is>
          <t>Qué es</t>
        </is>
      </c>
    </row>
    <row r="4" ht="30" customHeight="1">
      <c r="A4" s="52" t="inlineStr">
        <is>
          <t>BC-1</t>
        </is>
      </c>
      <c r="B4" s="53" t="inlineStr">
        <is>
          <t>EvidenceStore.kt</t>
        </is>
      </c>
      <c r="C4" s="10" t="inlineStr">
        <is>
          <t>+290 nuevo</t>
        </is>
      </c>
      <c r="D4" s="28" t="inlineStr">
        <is>
          <t>Pieza central: buffer en anillo, pre-roll de 120 s, segmentos de 8 MB, promoción de incidentes por renameTo() sin copiar bytes</t>
        </is>
      </c>
    </row>
    <row r="5" ht="30" customHeight="1">
      <c r="A5" s="52" t="inlineStr">
        <is>
          <t>BC-1</t>
        </is>
      </c>
      <c r="B5" s="53" t="inlineStr">
        <is>
          <t>RecordingActivity.kt</t>
        </is>
      </c>
      <c r="C5" s="10" t="inlineStr">
        <is>
          <t>+485</t>
        </is>
      </c>
      <c r="D5" s="28" t="inlineStr">
        <is>
          <t>Reescritura para grabación continua</t>
        </is>
      </c>
    </row>
    <row r="6" ht="30" customHeight="1">
      <c r="A6" s="52" t="inlineStr">
        <is>
          <t>BC-1</t>
        </is>
      </c>
      <c r="B6" s="53" t="inlineStr">
        <is>
          <t>CameraController.kt</t>
        </is>
      </c>
      <c r="C6" s="10" t="inlineStr">
        <is>
          <t>−257 borrado</t>
        </is>
      </c>
      <c r="D6" s="28" t="inlineStr">
        <is>
          <t>Sustituido por el nuevo modelo</t>
        </is>
      </c>
    </row>
    <row r="7" ht="18" customHeight="1">
      <c r="A7" s="52" t="inlineStr">
        <is>
          <t>BC-1</t>
        </is>
      </c>
      <c r="B7" s="53" t="inlineStr">
        <is>
          <t>FileServerService.kt</t>
        </is>
      </c>
      <c r="C7" s="10" t="inlineStr">
        <is>
          <t>+145</t>
        </is>
      </c>
      <c r="D7" s="28" t="inlineStr"/>
    </row>
    <row r="8" ht="18" customHeight="1">
      <c r="A8" s="52" t="inlineStr">
        <is>
          <t>BC-1</t>
        </is>
      </c>
      <c r="B8" s="53" t="inlineStr">
        <is>
          <t>UploadService.kt</t>
        </is>
      </c>
      <c r="C8" s="10" t="inlineStr">
        <is>
          <t>+106</t>
        </is>
      </c>
      <c r="D8" s="28" t="inlineStr"/>
    </row>
    <row r="9" ht="18" customHeight="1">
      <c r="A9" s="52" t="inlineStr">
        <is>
          <t>BC-1</t>
        </is>
      </c>
      <c r="B9" s="53" t="inlineStr">
        <is>
          <t>MainActivity.kt</t>
        </is>
      </c>
      <c r="C9" s="10" t="inlineStr">
        <is>
          <t>+74</t>
        </is>
      </c>
      <c r="D9" s="28" t="inlineStr"/>
    </row>
    <row r="10" ht="18" customHeight="1">
      <c r="A10" s="52" t="inlineStr">
        <is>
          <t>BC-1</t>
        </is>
      </c>
      <c r="B10" s="53" t="inlineStr">
        <is>
          <t>LivestreamService.kt</t>
        </is>
      </c>
      <c r="C10" s="10" t="inlineStr">
        <is>
          <t>+48</t>
        </is>
      </c>
      <c r="D10" s="28" t="inlineStr"/>
    </row>
    <row r="11" ht="18" customHeight="1">
      <c r="A11" s="52" t="inlineStr">
        <is>
          <t>BC-1</t>
        </is>
      </c>
      <c r="B11" s="53" t="inlineStr">
        <is>
          <t>BtServerService.kt</t>
        </is>
      </c>
      <c r="C11" s="10" t="inlineStr">
        <is>
          <t>+38</t>
        </is>
      </c>
      <c r="D11" s="28" t="inlineStr"/>
    </row>
    <row r="12" ht="30" customHeight="1">
      <c r="A12" s="52" t="inlineStr">
        <is>
          <t>BC-1</t>
        </is>
      </c>
      <c r="B12" s="53" t="inlineStr">
        <is>
          <t>Protocol / Preview / Torch / Photo</t>
        </is>
      </c>
      <c r="C12" s="10" t="inlineStr">
        <is>
          <t>+22</t>
        </is>
      </c>
      <c r="D12" s="28" t="inlineStr">
        <is>
          <t>Ajustes menores</t>
        </is>
      </c>
    </row>
    <row r="13" ht="30" customHeight="1">
      <c r="A13" s="54" t="inlineStr">
        <is>
          <t>BC-2</t>
        </is>
      </c>
      <c r="B13" s="53" t="inlineStr">
        <is>
          <t>aes-256Sha256.py</t>
        </is>
      </c>
      <c r="C13" s="10" t="inlineStr">
        <is>
          <t>1280 nuevo</t>
        </is>
      </c>
      <c r="D13" s="28" t="inlineStr">
        <is>
          <t>Herramienta de cifrado AES-256 / SHA-256</t>
        </is>
      </c>
    </row>
    <row r="14" ht="30" customHeight="1">
      <c r="A14" s="54" t="inlineStr">
        <is>
          <t>BC-2</t>
        </is>
      </c>
      <c r="B14" s="53" t="inlineStr">
        <is>
          <t>SampleMP4-Generator.py</t>
        </is>
      </c>
      <c r="C14" s="10" t="inlineStr">
        <is>
          <t>1086 nuevo</t>
        </is>
      </c>
      <c r="D14" s="28" t="inlineStr">
        <is>
          <t>Generador de MP4 de prueba</t>
        </is>
      </c>
    </row>
    <row r="15" ht="30" customHeight="1">
      <c r="A15" s="54" t="inlineStr">
        <is>
          <t>BC-2</t>
        </is>
      </c>
      <c r="B15" s="53" t="inlineStr">
        <is>
          <t>CryptoBenchmark.kt</t>
        </is>
      </c>
      <c r="C15" s="10" t="inlineStr">
        <is>
          <t>230 nuevo</t>
        </is>
      </c>
      <c r="D15" s="28" t="inlineStr">
        <is>
          <t>Coste real de hashear y cifrar en la unidad. Cifra por bloques porque Conscrypt acumula todo en Cipher.update() y revienta con OOM al pedirle 256 MB de una vez</t>
        </is>
      </c>
    </row>
    <row r="16" ht="30" customHeight="1">
      <c r="A16" s="54" t="inlineStr">
        <is>
          <t>BC-2</t>
        </is>
      </c>
      <c r="B16" s="53" t="inlineStr">
        <is>
          <t>RecorderWatch.kt</t>
        </is>
      </c>
      <c r="C16" s="10" t="inlineStr">
        <is>
          <t>134 nuevo</t>
        </is>
      </c>
      <c r="D16" s="28" t="inlineStr">
        <is>
          <t>Watchdog de grabaciones largas: detecta la parada silenciosa (encoder muerto sin callback) midiendo si el fichero deja de crecer</t>
        </is>
      </c>
    </row>
    <row r="17" ht="30" customHeight="1">
      <c r="A17" s="54" t="inlineStr">
        <is>
          <t>BC-2</t>
        </is>
      </c>
      <c r="B17" s="53" t="inlineStr">
        <is>
          <t>FileServerService.kt</t>
        </is>
      </c>
      <c r="C17" s="10" t="inlineStr">
        <is>
          <t>+48</t>
        </is>
      </c>
      <c r="D17" s="28" t="inlineStr">
        <is>
          <t>Endpoint GET /benchmark y resolve() que corta el path traversal por ../</t>
        </is>
      </c>
    </row>
    <row r="18" ht="30" customHeight="1">
      <c r="A18" s="54" t="inlineStr">
        <is>
          <t>BC-2</t>
        </is>
      </c>
      <c r="B18" s="53" t="inlineStr">
        <is>
          <t>CameraController.kt</t>
        </is>
      </c>
      <c r="C18" s="10" t="inlineStr">
        <is>
          <t>+13</t>
        </is>
      </c>
      <c r="D18" s="28" t="inlineStr">
        <is>
          <t>Enganche del watch — ⚠ este archivo ya no existe en main</t>
        </is>
      </c>
    </row>
    <row r="19" ht="30" customHeight="1">
      <c r="A19" s="54" t="inlineStr">
        <is>
          <t>BC-2</t>
        </is>
      </c>
      <c r="B19" s="53" t="inlineStr">
        <is>
          <t>RecordingActivity.kt</t>
        </is>
      </c>
      <c r="C19" s="10" t="inlineStr">
        <is>
          <t>+12</t>
        </is>
      </c>
      <c r="D19" s="28" t="inlineStr">
        <is>
          <t>Enganche del watch</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2026-08-15T11:02:23Z</dcterms:created>
  <dcterms:modified xmlns:dcterms="http://purl.org/dc/terms/" xmlns:xsi="http://www.w3.org/2001/XMLSchema-instance" xsi:type="dcterms:W3CDTF">2026-08-25T13:17:08Z</dcterms:modified>
</cp:coreProperties>
</file>